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ptwdarmstadt-my.sharepoint.com/personal/a_alzoubi_ptw_tu-darmstadt_de/Documents/"/>
    </mc:Choice>
  </mc:AlternateContent>
  <xr:revisionPtr revIDLastSave="0" documentId="8_{68F089F3-7A7F-49E4-8BC5-FFCBEC6D8B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rnzeiten" sheetId="1" r:id="rId1"/>
    <sheet name="Dashboar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2" i="1"/>
  <c r="D21" i="1"/>
  <c r="D23" i="1"/>
  <c r="D24" i="1"/>
  <c r="F10" i="2"/>
  <c r="F5" i="2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4" i="1"/>
  <c r="D5" i="1"/>
  <c r="D6" i="1"/>
  <c r="D7" i="1"/>
  <c r="D8" i="1"/>
  <c r="D9" i="1"/>
  <c r="D10" i="1"/>
  <c r="D12" i="1"/>
  <c r="D13" i="1"/>
  <c r="D14" i="1"/>
  <c r="D15" i="1"/>
  <c r="D16" i="1"/>
  <c r="D17" i="1"/>
  <c r="D18" i="1"/>
  <c r="D19" i="1"/>
  <c r="D20" i="1"/>
  <c r="D10" i="2" l="1"/>
  <c r="B5" i="2"/>
  <c r="D5" i="2" s="1"/>
  <c r="B10" i="2"/>
</calcChain>
</file>

<file path=xl/sharedStrings.xml><?xml version="1.0" encoding="utf-8"?>
<sst xmlns="http://schemas.openxmlformats.org/spreadsheetml/2006/main" count="35" uniqueCount="35">
  <si>
    <t>📚 Lernzeiten Tracker</t>
  </si>
  <si>
    <t>Datum</t>
  </si>
  <si>
    <t>Startzeit</t>
  </si>
  <si>
    <t>Endzeit</t>
  </si>
  <si>
    <t>Stunden</t>
  </si>
  <si>
    <t>Beschreibung</t>
  </si>
  <si>
    <t>Authentication basics</t>
  </si>
  <si>
    <t>Nav bar styling, Account service, homepage(Registerform)</t>
  </si>
  <si>
    <t>Parent to child communication und umgekehrt, Register component an API schließen, Routing Funktionalität hinzugefügt, Toast Meldung hinzugefügt</t>
  </si>
  <si>
    <t>Section 6: Route guard, app initialization, route Animations hinzugefügt. Section 7: complete</t>
  </si>
  <si>
    <t>Section 8: Entity Framework Relationships, EF Conventions, Seeding Data, Repository Pattern, Shaping Data (z.B. JsonIgnore)</t>
  </si>
  <si>
    <t>Section 9: Fetching list members (AsyncPipe), Interceptor für Token, Member Detailed Page, Child Components, Route Resolver</t>
  </si>
  <si>
    <t>Abschnitt 10: Updating resources</t>
  </si>
  <si>
    <t>Adding an extension method for the ClaimsPrincipal</t>
  </si>
  <si>
    <t>Updating the member in the client app → setting the main image on the client</t>
  </si>
  <si>
    <t>Challenge + end of section 11</t>
  </si>
  <si>
    <t>Abschnitt 12: → client side register</t>
  </si>
  <si>
    <t>Challenge → Section 13: Adding filtering to the API</t>
  </si>
  <si>
    <t>Adding additional filters → Adding filters to the modal</t>
  </si>
  <si>
    <t>Adding sorting to the API → Persisting the filters</t>
  </si>
  <si>
    <t>Restoring the caching → Adding the Likes controller</t>
  </si>
  <si>
    <t>Adding a service for likes → Hover-Probleme gelöst → Pagination challenge</t>
  </si>
  <si>
    <t>📊 Dashboard</t>
  </si>
  <si>
    <t>GESAMTSTUNDEN</t>
  </si>
  <si>
    <t>DURCHSCHNITT</t>
  </si>
  <si>
    <t>SESSIONS</t>
  </si>
  <si>
    <t>Stunden insgesamt</t>
  </si>
  <si>
    <t>Stunden pro Session</t>
  </si>
  <si>
    <t>Einträge erfasst</t>
  </si>
  <si>
    <t>LÄNGSTE SESSION</t>
  </si>
  <si>
    <t>KÜRZESTE SESSION</t>
  </si>
  <si>
    <t>ZEITRAUM</t>
  </si>
  <si>
    <t>Maximum</t>
  </si>
  <si>
    <t>Minimum</t>
  </si>
  <si>
    <t>Erster bis letzter Eintrag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</si>
</sst>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&quot; Std.&quot;"/>
  </numFmts>
  <fonts count="14">
    <font>
      <sz val="11"/>
      <color theme="1"/>
      <name val="Calibri"/>
      <family val="2"/>
      <scheme val="minor"/>
    </font>
    <font>
      <sz val="11"/>
      <color theme="1"/>
      <name val="Aptos"/>
    </font>
    <font>
      <sz val="10"/>
      <color rgb="FF2D3748"/>
      <name val="Aptos"/>
    </font>
    <font>
      <b/>
      <sz val="10"/>
      <color rgb="FF1B3A5C"/>
      <name val="Aptos"/>
    </font>
    <font>
      <b/>
      <sz val="9"/>
      <color rgb="FF6B7B8D"/>
      <name val="Aptos"/>
    </font>
    <font>
      <sz val="9"/>
      <color rgb="FFA0AEC0"/>
      <name val="Aptos"/>
    </font>
    <font>
      <b/>
      <sz val="18"/>
      <color rgb="FF1B3A5C"/>
      <name val="Aptos"/>
    </font>
    <font>
      <b/>
      <sz val="10"/>
      <color rgb="FFFFFFFF"/>
      <name val="Aptos"/>
    </font>
    <font>
      <b/>
      <sz val="30"/>
      <color rgb="FF2E86DE"/>
      <name val="Aptos"/>
    </font>
    <font>
      <b/>
      <sz val="30"/>
      <color rgb="FF27AE60"/>
      <name val="Aptos"/>
    </font>
    <font>
      <b/>
      <sz val="30"/>
      <color rgb="FF8E44AD"/>
      <name val="Aptos"/>
    </font>
    <font>
      <b/>
      <sz val="22"/>
      <color rgb="FFE67E22"/>
      <name val="Aptos"/>
    </font>
    <font>
      <b/>
      <sz val="22"/>
      <color rgb="FFE74C3C"/>
      <name val="Aptos"/>
    </font>
    <font>
      <b/>
      <sz val="15"/>
      <color rgb="FF1B3A5C"/>
      <name val="Aptos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B3A5C"/>
        <bgColor indexed="64"/>
      </patternFill>
    </fill>
    <fill>
      <patternFill patternType="solid">
        <fgColor rgb="FF2E86DE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8E44AD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4F7FA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/>
      <diagonal/>
    </border>
    <border>
      <left/>
      <right/>
      <top/>
      <bottom style="thin">
        <color rgb="FF1B3A5C"/>
      </bottom>
      <diagonal/>
    </border>
    <border>
      <left style="thin">
        <color rgb="FFE2E8F0"/>
      </left>
      <right style="thin">
        <color rgb="FFE2E8F0"/>
      </right>
      <top/>
      <bottom/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14" fontId="2" fillId="2" borderId="2" xfId="0" applyNumberFormat="1" applyFont="1" applyFill="1" applyBorder="1" applyAlignment="1">
      <alignment horizontal="center" vertical="center"/>
    </xf>
    <xf numFmtId="20" fontId="2" fillId="2" borderId="2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14" fontId="2" fillId="2" borderId="3" xfId="0" applyNumberFormat="1" applyFont="1" applyFill="1" applyBorder="1" applyAlignment="1">
      <alignment horizontal="center" vertical="center"/>
    </xf>
    <xf numFmtId="20" fontId="2" fillId="2" borderId="3" xfId="0" applyNumberFormat="1" applyFont="1" applyFill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14" fontId="2" fillId="10" borderId="1" xfId="0" applyNumberFormat="1" applyFont="1" applyFill="1" applyBorder="1" applyAlignment="1">
      <alignment horizontal="center" vertical="center"/>
    </xf>
    <xf numFmtId="20" fontId="2" fillId="10" borderId="1" xfId="0" applyNumberFormat="1" applyFont="1" applyFill="1" applyBorder="1" applyAlignment="1">
      <alignment horizontal="center" vertical="center"/>
    </xf>
    <xf numFmtId="164" fontId="3" fillId="10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 wrapText="1"/>
    </xf>
    <xf numFmtId="14" fontId="2" fillId="10" borderId="0" xfId="0" applyNumberFormat="1" applyFont="1" applyFill="1" applyAlignment="1">
      <alignment horizontal="center" vertical="center"/>
    </xf>
    <xf numFmtId="20" fontId="2" fillId="10" borderId="0" xfId="0" applyNumberFormat="1" applyFont="1" applyFill="1" applyAlignment="1">
      <alignment horizontal="center" vertical="center"/>
    </xf>
    <xf numFmtId="164" fontId="3" fillId="10" borderId="0" xfId="0" applyNumberFormat="1" applyFont="1" applyFill="1" applyAlignment="1">
      <alignment horizontal="center" vertical="center"/>
    </xf>
    <xf numFmtId="0" fontId="2" fillId="10" borderId="0" xfId="0" applyFont="1" applyFill="1" applyAlignment="1">
      <alignment horizontal="left" vertical="center" wrapText="1"/>
    </xf>
    <xf numFmtId="14" fontId="2" fillId="10" borderId="2" xfId="0" applyNumberFormat="1" applyFont="1" applyFill="1" applyBorder="1" applyAlignment="1">
      <alignment horizontal="center" vertical="center"/>
    </xf>
    <xf numFmtId="20" fontId="2" fillId="10" borderId="2" xfId="0" applyNumberFormat="1" applyFont="1" applyFill="1" applyBorder="1" applyAlignment="1">
      <alignment horizontal="center" vertical="center"/>
    </xf>
    <xf numFmtId="164" fontId="3" fillId="10" borderId="2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left" vertical="center" wrapText="1"/>
    </xf>
    <xf numFmtId="14" fontId="2" fillId="10" borderId="3" xfId="0" applyNumberFormat="1" applyFont="1" applyFill="1" applyBorder="1" applyAlignment="1">
      <alignment horizontal="center" vertical="center"/>
    </xf>
    <xf numFmtId="20" fontId="2" fillId="10" borderId="3" xfId="0" applyNumberFormat="1" applyFont="1" applyFill="1" applyBorder="1" applyAlignment="1">
      <alignment horizontal="center" vertical="center"/>
    </xf>
    <xf numFmtId="164" fontId="3" fillId="10" borderId="3" xfId="0" applyNumberFormat="1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left" vertical="center"/>
    </xf>
    <xf numFmtId="0" fontId="1" fillId="0" borderId="0" xfId="0" applyFont="1" applyAlignment="1">
      <alignment vertical="center" indent="1"/>
    </xf>
    <xf numFmtId="0" fontId="1" fillId="7" borderId="0" xfId="0" applyFont="1" applyFill="1" applyAlignment="1">
      <alignment vertical="center" indent="1"/>
    </xf>
    <xf numFmtId="0" fontId="1" fillId="8" borderId="0" xfId="0" applyFont="1" applyFill="1" applyAlignment="1">
      <alignment vertical="center" indent="1"/>
    </xf>
    <xf numFmtId="0" fontId="1" fillId="3" borderId="0" xfId="0" applyFont="1" applyFill="1" applyAlignment="1">
      <alignment vertical="center" indent="1"/>
    </xf>
    <xf numFmtId="0" fontId="4" fillId="9" borderId="5" xfId="0" applyFont="1" applyFill="1" applyBorder="1" applyAlignment="1">
      <alignment vertical="center" indent="1"/>
    </xf>
    <xf numFmtId="164" fontId="8" fillId="9" borderId="5" xfId="0" applyNumberFormat="1" applyFont="1" applyFill="1" applyBorder="1" applyAlignment="1">
      <alignment vertical="center" indent="1"/>
    </xf>
    <xf numFmtId="0" fontId="5" fillId="9" borderId="6" xfId="0" applyFont="1" applyFill="1" applyBorder="1" applyAlignment="1">
      <alignment vertical="center" indent="1"/>
    </xf>
    <xf numFmtId="164" fontId="9" fillId="9" borderId="5" xfId="0" applyNumberFormat="1" applyFont="1" applyFill="1" applyBorder="1" applyAlignment="1">
      <alignment vertical="center" indent="1"/>
    </xf>
    <xf numFmtId="1" fontId="10" fillId="9" borderId="5" xfId="0" applyNumberFormat="1" applyFont="1" applyFill="1" applyBorder="1" applyAlignment="1">
      <alignment vertical="center" indent="1"/>
    </xf>
    <xf numFmtId="165" fontId="11" fillId="9" borderId="5" xfId="0" applyNumberFormat="1" applyFont="1" applyFill="1" applyBorder="1" applyAlignment="1">
      <alignment vertical="center" indent="1"/>
    </xf>
    <xf numFmtId="165" fontId="12" fillId="9" borderId="5" xfId="0" applyNumberFormat="1" applyFont="1" applyFill="1" applyBorder="1" applyAlignment="1">
      <alignment vertical="center" indent="1"/>
    </xf>
    <xf numFmtId="0" fontId="13" fillId="9" borderId="5" xfId="0" applyFont="1" applyFill="1" applyBorder="1" applyAlignment="1">
      <alignment vertical="center" indent="1"/>
    </xf>
    <xf numFmtId="20" fontId="2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267B85A-67FD-4141-9052-DE129C0160C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84d3c434-3329-422e-b3ac-84442a1a2aad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A1:AD500"/>
  <sheetViews>
    <sheetView showGridLines="0" tabSelected="1" topLeftCell="A24" workbookViewId="0">
      <selection activeCell="E12" sqref="E12"/>
    </sheetView>
  </sheetViews>
  <sheetFormatPr defaultColWidth="9.140625" defaultRowHeight="15"/>
  <cols>
    <col min="1" max="1" width="19" style="1" customWidth="1"/>
    <col min="2" max="3" width="15.28515625" style="1" customWidth="1"/>
    <col min="4" max="4" width="13" style="1" customWidth="1"/>
    <col min="5" max="5" width="79.28515625" style="1" customWidth="1"/>
    <col min="6" max="10" width="12.140625" customWidth="1"/>
    <col min="11" max="30" width="9.140625" customWidth="1"/>
    <col min="31" max="16384" width="9.140625" style="1"/>
  </cols>
  <sheetData>
    <row r="1" spans="1:5" ht="39.950000000000003" customHeight="1">
      <c r="A1" s="14" t="s">
        <v>0</v>
      </c>
      <c r="B1" s="2"/>
      <c r="C1" s="2"/>
      <c r="D1" s="2"/>
      <c r="E1" s="2"/>
    </row>
    <row r="2" spans="1:5" ht="3.95" customHeight="1">
      <c r="A2" s="3"/>
      <c r="B2" s="3"/>
      <c r="C2" s="3"/>
      <c r="D2" s="3"/>
      <c r="E2" s="3"/>
    </row>
    <row r="3" spans="1:5" ht="30" customHeight="1">
      <c r="A3" s="31" t="s">
        <v>1</v>
      </c>
      <c r="B3" s="31" t="s">
        <v>2</v>
      </c>
      <c r="C3" s="31" t="s">
        <v>3</v>
      </c>
      <c r="D3" s="31" t="s">
        <v>4</v>
      </c>
      <c r="E3" s="32" t="s">
        <v>5</v>
      </c>
    </row>
    <row r="4" spans="1:5" ht="30" customHeight="1">
      <c r="A4" s="19">
        <v>46083</v>
      </c>
      <c r="B4" s="20">
        <v>0.5</v>
      </c>
      <c r="C4" s="20">
        <v>0.66666666666666696</v>
      </c>
      <c r="D4" s="21">
        <f>(C4-B4)*24</f>
        <v>4.0000000000000071</v>
      </c>
      <c r="E4" s="22" t="s">
        <v>6</v>
      </c>
    </row>
    <row r="5" spans="1:5" ht="30" customHeight="1">
      <c r="A5" s="10">
        <v>46087</v>
      </c>
      <c r="B5" s="11">
        <v>0.5</v>
      </c>
      <c r="C5" s="11">
        <v>0.66666666666666696</v>
      </c>
      <c r="D5" s="12">
        <f>(C5-B5)*24</f>
        <v>4.0000000000000071</v>
      </c>
      <c r="E5" s="13" t="s">
        <v>7</v>
      </c>
    </row>
    <row r="6" spans="1:5" ht="30" customHeight="1">
      <c r="A6" s="27">
        <v>46089</v>
      </c>
      <c r="B6" s="28">
        <v>0.41666666666666702</v>
      </c>
      <c r="C6" s="28">
        <v>0.54166666666666696</v>
      </c>
      <c r="D6" s="29">
        <f>(C6-B6)*24</f>
        <v>2.9999999999999987</v>
      </c>
      <c r="E6" s="30" t="s">
        <v>8</v>
      </c>
    </row>
    <row r="7" spans="1:5" ht="30" customHeight="1">
      <c r="A7" s="10">
        <v>46092</v>
      </c>
      <c r="B7" s="11">
        <v>0.375</v>
      </c>
      <c r="C7" s="11">
        <v>0.52083333333333337</v>
      </c>
      <c r="D7" s="12">
        <f>(C7-B7)*24</f>
        <v>3.5000000000000009</v>
      </c>
      <c r="E7" s="13" t="s">
        <v>9</v>
      </c>
    </row>
    <row r="8" spans="1:5" ht="30" customHeight="1">
      <c r="A8" s="27">
        <v>46093</v>
      </c>
      <c r="B8" s="28">
        <v>0.47916666666666702</v>
      </c>
      <c r="C8" s="28">
        <v>0.64583333333333304</v>
      </c>
      <c r="D8" s="29">
        <f>(C8-B8)*24</f>
        <v>3.9999999999999845</v>
      </c>
      <c r="E8" s="30" t="s">
        <v>10</v>
      </c>
    </row>
    <row r="9" spans="1:5" ht="30" customHeight="1">
      <c r="A9" s="10">
        <v>46096</v>
      </c>
      <c r="B9" s="11">
        <v>0.41666666666666702</v>
      </c>
      <c r="C9" s="11">
        <v>0.60416666666666696</v>
      </c>
      <c r="D9" s="12">
        <f>(C9-B9)*24</f>
        <v>4.4999999999999982</v>
      </c>
      <c r="E9" s="13" t="s">
        <v>11</v>
      </c>
    </row>
    <row r="10" spans="1:5" ht="30" customHeight="1">
      <c r="A10" s="27">
        <v>46104</v>
      </c>
      <c r="B10" s="28">
        <v>0.5625</v>
      </c>
      <c r="C10" s="28">
        <v>0.6875</v>
      </c>
      <c r="D10" s="29">
        <f>(C10-B10)*24</f>
        <v>3</v>
      </c>
      <c r="E10" s="30"/>
    </row>
    <row r="11" spans="1:5" ht="30" customHeight="1">
      <c r="A11" s="10">
        <v>46107</v>
      </c>
      <c r="B11" s="11">
        <v>0.45833333333333298</v>
      </c>
      <c r="C11" s="11">
        <v>0.54166666666666663</v>
      </c>
      <c r="D11" s="12">
        <f>(C11-B11)*24</f>
        <v>2.0000000000000075</v>
      </c>
      <c r="E11" s="13" t="s">
        <v>12</v>
      </c>
    </row>
    <row r="12" spans="1:5" ht="30" customHeight="1">
      <c r="A12" s="27">
        <v>46107</v>
      </c>
      <c r="B12" s="28">
        <v>0.64583333333333304</v>
      </c>
      <c r="C12" s="28">
        <v>0.70833333333333304</v>
      </c>
      <c r="D12" s="29">
        <f>(C12-B12)*24</f>
        <v>1.5</v>
      </c>
      <c r="E12" s="30" t="s">
        <v>13</v>
      </c>
    </row>
    <row r="13" spans="1:5" ht="30" customHeight="1">
      <c r="A13" s="10">
        <v>46108</v>
      </c>
      <c r="B13" s="11">
        <v>0.41666666666666702</v>
      </c>
      <c r="C13" s="11">
        <v>0.625</v>
      </c>
      <c r="D13" s="12">
        <f>(C13-B13)*24</f>
        <v>4.9999999999999911</v>
      </c>
      <c r="E13" s="13" t="s">
        <v>14</v>
      </c>
    </row>
    <row r="14" spans="1:5" ht="30" customHeight="1">
      <c r="A14" s="27">
        <v>46110</v>
      </c>
      <c r="B14" s="28">
        <v>0.47916666666666702</v>
      </c>
      <c r="C14" s="28">
        <v>0.66666666666666696</v>
      </c>
      <c r="D14" s="29">
        <f>(C14-B14)*24</f>
        <v>4.4999999999999982</v>
      </c>
      <c r="E14" s="30" t="s">
        <v>15</v>
      </c>
    </row>
    <row r="15" spans="1:5" ht="30" customHeight="1">
      <c r="A15" s="10">
        <v>46114</v>
      </c>
      <c r="B15" s="11">
        <v>0.54166666666666696</v>
      </c>
      <c r="C15" s="11">
        <v>0.70833333333333337</v>
      </c>
      <c r="D15" s="12">
        <f>(C15-B15)*24</f>
        <v>3.9999999999999938</v>
      </c>
      <c r="E15" s="13" t="s">
        <v>16</v>
      </c>
    </row>
    <row r="16" spans="1:5" ht="30" customHeight="1">
      <c r="A16" s="27">
        <v>46116</v>
      </c>
      <c r="B16" s="28">
        <v>0.58333333333333304</v>
      </c>
      <c r="C16" s="28">
        <v>0.75</v>
      </c>
      <c r="D16" s="29">
        <f>(C16-B16)*24</f>
        <v>4.0000000000000071</v>
      </c>
      <c r="E16" s="30" t="s">
        <v>17</v>
      </c>
    </row>
    <row r="17" spans="1:5" ht="30" customHeight="1">
      <c r="A17" s="10">
        <v>46117</v>
      </c>
      <c r="B17" s="11">
        <v>0.47916666666666702</v>
      </c>
      <c r="C17" s="11">
        <v>0.64583333333333337</v>
      </c>
      <c r="D17" s="12">
        <f>(C17-B17)*24</f>
        <v>3.9999999999999925</v>
      </c>
      <c r="E17" s="13" t="s">
        <v>18</v>
      </c>
    </row>
    <row r="18" spans="1:5" ht="30" customHeight="1">
      <c r="A18" s="27">
        <v>46122</v>
      </c>
      <c r="B18" s="28">
        <v>0.77083333333333304</v>
      </c>
      <c r="C18" s="28">
        <v>0.91666666666666663</v>
      </c>
      <c r="D18" s="29">
        <f>(C18-B18)*24</f>
        <v>3.5000000000000062</v>
      </c>
      <c r="E18" s="30" t="s">
        <v>19</v>
      </c>
    </row>
    <row r="19" spans="1:5" ht="30" customHeight="1">
      <c r="A19" s="10">
        <v>46123</v>
      </c>
      <c r="B19" s="11">
        <v>0.58333333333333304</v>
      </c>
      <c r="C19" s="11">
        <v>0.75</v>
      </c>
      <c r="D19" s="12">
        <f>(C19-B19)*24</f>
        <v>4.0000000000000071</v>
      </c>
      <c r="E19" s="13" t="s">
        <v>20</v>
      </c>
    </row>
    <row r="20" spans="1:5" ht="30" customHeight="1">
      <c r="A20" s="27">
        <v>46124</v>
      </c>
      <c r="B20" s="28">
        <v>0.54166666666666696</v>
      </c>
      <c r="C20" s="28">
        <v>0.75</v>
      </c>
      <c r="D20" s="29">
        <f>(C20-B20)*24</f>
        <v>4.9999999999999929</v>
      </c>
      <c r="E20" s="30" t="s">
        <v>21</v>
      </c>
    </row>
    <row r="21" spans="1:5" ht="30" customHeight="1">
      <c r="A21" s="6"/>
      <c r="B21" s="7"/>
      <c r="C21" s="7"/>
      <c r="D21" s="8" t="str">
        <f>IF(AND(B21&lt;&gt;"",C21&lt;&gt;""),(C21-B21)*24,"")</f>
        <v/>
      </c>
      <c r="E21" s="9"/>
    </row>
    <row r="22" spans="1:5" ht="30" customHeight="1">
      <c r="A22" s="15"/>
      <c r="B22" s="16"/>
      <c r="C22" s="16"/>
      <c r="D22" s="17" t="str">
        <f>IF(AND(B22&lt;&gt;"",C22&lt;&gt;""),(C22-B22)*24,"")</f>
        <v/>
      </c>
      <c r="E22" s="18"/>
    </row>
    <row r="23" spans="1:5" ht="30" customHeight="1">
      <c r="A23" s="6"/>
      <c r="B23" s="7"/>
      <c r="C23" s="7"/>
      <c r="D23" s="8" t="str">
        <f>IF(AND(B23&lt;&gt;"",C23&lt;&gt;""),(C23-B23)*24,"")</f>
        <v/>
      </c>
      <c r="E23" s="9"/>
    </row>
    <row r="24" spans="1:5" ht="30" customHeight="1">
      <c r="A24" s="23"/>
      <c r="B24" s="24"/>
      <c r="C24" s="24"/>
      <c r="D24" s="25" t="str">
        <f>IF(AND(B24&lt;&gt;"",C24&lt;&gt;""),(C24-B24)*24,"")</f>
        <v/>
      </c>
      <c r="E24" s="26"/>
    </row>
    <row r="25" spans="1:5" ht="30" customHeight="1">
      <c r="A25" s="6"/>
      <c r="B25" s="7"/>
      <c r="C25" s="7"/>
      <c r="D25" s="8" t="str">
        <f>IF(AND(B25&lt;&gt;"",C25&lt;&gt;""),(C25-B25)*24,"")</f>
        <v/>
      </c>
      <c r="E25" s="9"/>
    </row>
    <row r="26" spans="1:5" ht="30" customHeight="1">
      <c r="A26" s="23"/>
      <c r="B26" s="24"/>
      <c r="C26" s="24"/>
      <c r="D26" s="25" t="str">
        <f>IF(AND(B26&lt;&gt;"",C26&lt;&gt;""),(C26-B26)*24,"")</f>
        <v/>
      </c>
      <c r="E26" s="26"/>
    </row>
    <row r="27" spans="1:5" ht="30" customHeight="1">
      <c r="A27" s="6"/>
      <c r="B27" s="7"/>
      <c r="C27" s="7"/>
      <c r="D27" s="8" t="str">
        <f>IF(AND(B27&lt;&gt;"",C27&lt;&gt;""),(C27-B27)*24,"")</f>
        <v/>
      </c>
      <c r="E27" s="9"/>
    </row>
    <row r="28" spans="1:5" ht="30" customHeight="1">
      <c r="A28" s="23"/>
      <c r="B28" s="24"/>
      <c r="C28" s="24"/>
      <c r="D28" s="25" t="str">
        <f>IF(AND(B28&lt;&gt;"",C28&lt;&gt;""),(C28-B28)*24,"")</f>
        <v/>
      </c>
      <c r="E28" s="26"/>
    </row>
    <row r="29" spans="1:5" ht="30" customHeight="1">
      <c r="A29" s="6"/>
      <c r="B29" s="7"/>
      <c r="C29" s="7"/>
      <c r="D29" s="8" t="str">
        <f>IF(AND(B29&lt;&gt;"",C29&lt;&gt;""),(C29-B29)*24,"")</f>
        <v/>
      </c>
      <c r="E29" s="9"/>
    </row>
    <row r="30" spans="1:5" ht="30" customHeight="1">
      <c r="A30" s="23"/>
      <c r="B30" s="24"/>
      <c r="C30" s="24"/>
      <c r="D30" s="25" t="str">
        <f>IF(AND(B30&lt;&gt;"",C30&lt;&gt;""),(C30-B30)*24,"")</f>
        <v/>
      </c>
      <c r="E30" s="26"/>
    </row>
    <row r="31" spans="1:5" ht="30" customHeight="1">
      <c r="A31" s="6"/>
      <c r="B31" s="7"/>
      <c r="C31" s="7"/>
      <c r="D31" s="8" t="str">
        <f>IF(AND(B31&lt;&gt;"",C31&lt;&gt;""),(C31-B31)*24,"")</f>
        <v/>
      </c>
      <c r="E31" s="9"/>
    </row>
    <row r="32" spans="1:5" ht="30" customHeight="1">
      <c r="A32" s="23"/>
      <c r="B32" s="24"/>
      <c r="C32" s="24"/>
      <c r="D32" s="25" t="str">
        <f>IF(AND(B32&lt;&gt;"",C32&lt;&gt;""),(C32-B32)*24,"")</f>
        <v/>
      </c>
      <c r="E32" s="26"/>
    </row>
    <row r="33" spans="1:5" ht="30" customHeight="1">
      <c r="A33" s="6"/>
      <c r="B33" s="7"/>
      <c r="C33" s="7"/>
      <c r="D33" s="8" t="str">
        <f>IF(AND(B33&lt;&gt;"",C33&lt;&gt;""),(C33-B33)*24,"")</f>
        <v/>
      </c>
      <c r="E33" s="9"/>
    </row>
    <row r="34" spans="1:5" ht="30" customHeight="1">
      <c r="A34" s="23"/>
      <c r="B34" s="24"/>
      <c r="C34" s="24"/>
      <c r="D34" s="25" t="str">
        <f>IF(AND(B34&lt;&gt;"",C34&lt;&gt;""),(C34-B34)*24,"")</f>
        <v/>
      </c>
      <c r="E34" s="26"/>
    </row>
    <row r="35" spans="1:5" ht="30" customHeight="1">
      <c r="A35" s="6"/>
      <c r="B35" s="7"/>
      <c r="C35" s="7"/>
      <c r="D35" s="8" t="str">
        <f>IF(AND(B35&lt;&gt;"",C35&lt;&gt;""),(C35-B35)*24,"")</f>
        <v/>
      </c>
      <c r="E35" s="9"/>
    </row>
    <row r="36" spans="1:5" ht="30" customHeight="1">
      <c r="A36" s="23"/>
      <c r="B36" s="24"/>
      <c r="C36" s="24"/>
      <c r="D36" s="25" t="str">
        <f>IF(AND(B36&lt;&gt;"",C36&lt;&gt;""),(C36-B36)*24,"")</f>
        <v/>
      </c>
      <c r="E36" s="26"/>
    </row>
    <row r="37" spans="1:5" ht="30" customHeight="1">
      <c r="A37" s="6"/>
      <c r="B37" s="7"/>
      <c r="C37" s="7"/>
      <c r="D37" s="8" t="str">
        <f>IF(AND(B37&lt;&gt;"",C37&lt;&gt;""),(C37-B37)*24,"")</f>
        <v/>
      </c>
      <c r="E37" s="9"/>
    </row>
    <row r="38" spans="1:5" ht="30" customHeight="1">
      <c r="A38" s="23"/>
      <c r="B38" s="24"/>
      <c r="C38" s="24"/>
      <c r="D38" s="25" t="str">
        <f>IF(AND(B38&lt;&gt;"",C38&lt;&gt;""),(C38-B38)*24,"")</f>
        <v/>
      </c>
      <c r="E38" s="26"/>
    </row>
    <row r="39" spans="1:5" ht="30" customHeight="1">
      <c r="A39" s="6"/>
      <c r="B39" s="7"/>
      <c r="C39" s="7"/>
      <c r="D39" s="8" t="str">
        <f>IF(AND(B39&lt;&gt;"",C39&lt;&gt;""),(C39-B39)*24,"")</f>
        <v/>
      </c>
      <c r="E39" s="9"/>
    </row>
    <row r="40" spans="1:5" ht="30" customHeight="1">
      <c r="A40" s="23"/>
      <c r="B40" s="24"/>
      <c r="C40" s="24"/>
      <c r="D40" s="25" t="str">
        <f>IF(AND(B40&lt;&gt;"",C40&lt;&gt;""),(C40-B40)*24,"")</f>
        <v/>
      </c>
      <c r="E40" s="26"/>
    </row>
    <row r="41" spans="1:5" ht="30" customHeight="1">
      <c r="A41" s="6"/>
      <c r="B41" s="7"/>
      <c r="C41" s="7"/>
      <c r="D41" s="8" t="str">
        <f>IF(AND(B41&lt;&gt;"",C41&lt;&gt;""),(C41-B41)*24,"")</f>
        <v/>
      </c>
      <c r="E41" s="9"/>
    </row>
    <row r="42" spans="1:5" ht="30" customHeight="1">
      <c r="A42" s="23"/>
      <c r="B42" s="24"/>
      <c r="C42" s="24"/>
      <c r="D42" s="25" t="str">
        <f>IF(AND(B42&lt;&gt;"",C42&lt;&gt;""),(C42-B42)*24,"")</f>
        <v/>
      </c>
      <c r="E42" s="26"/>
    </row>
    <row r="43" spans="1:5" ht="30" customHeight="1">
      <c r="A43" s="6"/>
      <c r="B43" s="7"/>
      <c r="C43" s="7"/>
      <c r="D43" s="8" t="str">
        <f>IF(AND(B43&lt;&gt;"",C43&lt;&gt;""),(C43-B43)*24,"")</f>
        <v/>
      </c>
      <c r="E43" s="9"/>
    </row>
    <row r="44" spans="1:5" ht="30" customHeight="1">
      <c r="A44" s="23"/>
      <c r="B44" s="24"/>
      <c r="C44" s="24"/>
      <c r="D44" s="25" t="str">
        <f>IF(AND(B44&lt;&gt;"",C44&lt;&gt;""),(C44-B44)*24,"")</f>
        <v/>
      </c>
      <c r="E44" s="26"/>
    </row>
    <row r="45" spans="1:5" ht="30" customHeight="1">
      <c r="A45" s="6"/>
      <c r="B45" s="7"/>
      <c r="C45" s="7"/>
      <c r="D45" s="8" t="str">
        <f>IF(AND(B45&lt;&gt;"",C45&lt;&gt;""),(C45-B45)*24,"")</f>
        <v/>
      </c>
      <c r="E45" s="9"/>
    </row>
    <row r="46" spans="1:5" ht="30" customHeight="1">
      <c r="A46" s="23"/>
      <c r="B46" s="24"/>
      <c r="C46" s="24"/>
      <c r="D46" s="25" t="str">
        <f>IF(AND(B46&lt;&gt;"",C46&lt;&gt;""),(C46-B46)*24,"")</f>
        <v/>
      </c>
      <c r="E46" s="26"/>
    </row>
    <row r="47" spans="1:5" ht="30" customHeight="1">
      <c r="A47" s="6"/>
      <c r="B47" s="7"/>
      <c r="C47" s="7"/>
      <c r="D47" s="8" t="str">
        <f>IF(AND(B47&lt;&gt;"",C47&lt;&gt;""),(C47-B47)*24,"")</f>
        <v/>
      </c>
      <c r="E47" s="9"/>
    </row>
    <row r="48" spans="1:5" ht="30" customHeight="1">
      <c r="A48" s="23"/>
      <c r="B48" s="24"/>
      <c r="C48" s="24"/>
      <c r="D48" s="25" t="str">
        <f>IF(AND(B48&lt;&gt;"",C48&lt;&gt;""),(C48-B48)*24,"")</f>
        <v/>
      </c>
      <c r="E48" s="26"/>
    </row>
    <row r="49" spans="1:5" ht="30" customHeight="1">
      <c r="A49" s="6"/>
      <c r="B49" s="7"/>
      <c r="C49" s="7"/>
      <c r="D49" s="8" t="str">
        <f>IF(AND(B49&lt;&gt;"",C49&lt;&gt;""),(C49-B49)*24,"")</f>
        <v/>
      </c>
      <c r="E49" s="9"/>
    </row>
    <row r="50" spans="1:5" ht="30" customHeight="1">
      <c r="A50"/>
      <c r="B50"/>
      <c r="C50"/>
      <c r="D50"/>
      <c r="E50"/>
    </row>
    <row r="51" spans="1:5" ht="30" customHeight="1">
      <c r="A51" s="48"/>
      <c r="B51" s="45"/>
      <c r="C51" s="45"/>
      <c r="D51" s="46" t="str">
        <f>IF(AND(B51&lt;&gt;"",C51&lt;&gt;""),(C51-B51)*24,"")</f>
        <v/>
      </c>
      <c r="E51" s="47"/>
    </row>
    <row r="52" spans="1:5" ht="30" customHeight="1">
      <c r="A52" s="23"/>
      <c r="B52" s="24"/>
      <c r="C52" s="24"/>
      <c r="D52" s="25" t="str">
        <f>IF(AND(B52&lt;&gt;"",C52&lt;&gt;""),(C52-B52)*24,"")</f>
        <v/>
      </c>
      <c r="E52" s="26"/>
    </row>
    <row r="53" spans="1:5" ht="30" customHeight="1">
      <c r="A53" s="6"/>
      <c r="B53" s="7"/>
      <c r="C53" s="7"/>
      <c r="D53" s="8" t="str">
        <f>IF(AND(B53&lt;&gt;"",C53&lt;&gt;""),(C53-B53)*24,"")</f>
        <v/>
      </c>
      <c r="E53" s="9"/>
    </row>
    <row r="54" spans="1:5" ht="30" customHeight="1">
      <c r="A54" s="23"/>
      <c r="B54" s="24"/>
      <c r="C54" s="24"/>
      <c r="D54" s="25" t="str">
        <f>IF(AND(B54&lt;&gt;"",C54&lt;&gt;""),(C54-B54)*24,"")</f>
        <v/>
      </c>
      <c r="E54" s="26"/>
    </row>
    <row r="55" spans="1:5" ht="30" customHeight="1">
      <c r="A55" s="6"/>
      <c r="B55" s="7"/>
      <c r="C55" s="7"/>
      <c r="D55" s="8" t="str">
        <f>IF(AND(B55&lt;&gt;"",C55&lt;&gt;""),(C55-B55)*24,"")</f>
        <v/>
      </c>
      <c r="E55" s="9"/>
    </row>
    <row r="56" spans="1:5" ht="30" customHeight="1">
      <c r="A56" s="23"/>
      <c r="B56" s="24"/>
      <c r="C56" s="24"/>
      <c r="D56" s="25" t="str">
        <f>IF(AND(B56&lt;&gt;"",C56&lt;&gt;""),(C56-B56)*24,"")</f>
        <v/>
      </c>
      <c r="E56" s="26"/>
    </row>
    <row r="57" spans="1:5" ht="30" customHeight="1">
      <c r="A57" s="6"/>
      <c r="B57" s="7"/>
      <c r="C57" s="7"/>
      <c r="D57" s="8" t="str">
        <f>IF(AND(B57&lt;&gt;"",C57&lt;&gt;""),(C57-B57)*24,"")</f>
        <v/>
      </c>
      <c r="E57" s="9"/>
    </row>
    <row r="58" spans="1:5" ht="30" customHeight="1">
      <c r="A58" s="23"/>
      <c r="B58" s="24"/>
      <c r="C58" s="24"/>
      <c r="D58" s="25" t="str">
        <f>IF(AND(B58&lt;&gt;"",C58&lt;&gt;""),(C58-B58)*24,"")</f>
        <v/>
      </c>
      <c r="E58" s="26"/>
    </row>
    <row r="59" spans="1:5" ht="30" customHeight="1">
      <c r="A59" s="6"/>
      <c r="B59" s="7"/>
      <c r="C59" s="7"/>
      <c r="D59" s="8" t="str">
        <f>IF(AND(B59&lt;&gt;"",C59&lt;&gt;""),(C59-B59)*24,"")</f>
        <v/>
      </c>
      <c r="E59" s="9"/>
    </row>
    <row r="60" spans="1:5" ht="30" customHeight="1">
      <c r="A60" s="23"/>
      <c r="B60" s="24"/>
      <c r="C60" s="24"/>
      <c r="D60" s="25" t="str">
        <f>IF(AND(B60&lt;&gt;"",C60&lt;&gt;""),(C60-B60)*24,"")</f>
        <v/>
      </c>
      <c r="E60" s="26"/>
    </row>
    <row r="61" spans="1:5" ht="30" customHeight="1">
      <c r="A61" s="6"/>
      <c r="B61" s="7"/>
      <c r="C61" s="7"/>
      <c r="D61" s="8" t="str">
        <f>IF(AND(B61&lt;&gt;"",C61&lt;&gt;""),(C61-B61)*24,"")</f>
        <v/>
      </c>
      <c r="E61" s="9"/>
    </row>
    <row r="62" spans="1:5" ht="30" customHeight="1">
      <c r="A62" s="23"/>
      <c r="B62" s="24"/>
      <c r="C62" s="24"/>
      <c r="D62" s="25" t="str">
        <f>IF(AND(B62&lt;&gt;"",C62&lt;&gt;""),(C62-B62)*24,"")</f>
        <v/>
      </c>
      <c r="E62" s="26"/>
    </row>
    <row r="63" spans="1:5" ht="30" customHeight="1">
      <c r="A63" s="6"/>
      <c r="B63" s="7"/>
      <c r="C63" s="7"/>
      <c r="D63" s="8" t="str">
        <f>IF(AND(B63&lt;&gt;"",C63&lt;&gt;""),(C63-B63)*24,"")</f>
        <v/>
      </c>
      <c r="E63" s="9"/>
    </row>
    <row r="64" spans="1:5" ht="30" customHeight="1">
      <c r="A64" s="23"/>
      <c r="B64" s="24"/>
      <c r="C64" s="24"/>
      <c r="D64" s="25" t="str">
        <f>IF(AND(B64&lt;&gt;"",C64&lt;&gt;""),(C64-B64)*24,"")</f>
        <v/>
      </c>
      <c r="E64" s="26"/>
    </row>
    <row r="65" spans="1:5" ht="30" customHeight="1">
      <c r="A65" s="6"/>
      <c r="B65" s="7"/>
      <c r="C65" s="7"/>
      <c r="D65" s="8" t="str">
        <f>IF(AND(B65&lt;&gt;"",C65&lt;&gt;""),(C65-B65)*24,"")</f>
        <v/>
      </c>
      <c r="E65" s="9"/>
    </row>
    <row r="66" spans="1:5" ht="30" customHeight="1">
      <c r="A66" s="23"/>
      <c r="B66" s="24"/>
      <c r="C66" s="24"/>
      <c r="D66" s="25" t="str">
        <f>IF(AND(B66&lt;&gt;"",C66&lt;&gt;""),(C66-B66)*24,"")</f>
        <v/>
      </c>
      <c r="E66" s="26"/>
    </row>
    <row r="67" spans="1:5" ht="30" customHeight="1">
      <c r="A67" s="6"/>
      <c r="B67" s="7"/>
      <c r="C67" s="7"/>
      <c r="D67" s="8" t="str">
        <f>IF(AND(B67&lt;&gt;"",C67&lt;&gt;""),(C67-B67)*24,"")</f>
        <v/>
      </c>
      <c r="E67" s="9"/>
    </row>
    <row r="68" spans="1:5" ht="30" customHeight="1">
      <c r="A68" s="23"/>
      <c r="B68" s="24"/>
      <c r="C68" s="24"/>
      <c r="D68" s="25" t="str">
        <f>IF(AND(B68&lt;&gt;"",C68&lt;&gt;""),(C68-B68)*24,"")</f>
        <v/>
      </c>
      <c r="E68" s="26"/>
    </row>
    <row r="69" spans="1:5" ht="30" customHeight="1">
      <c r="A69" s="6"/>
      <c r="B69" s="7"/>
      <c r="C69" s="7"/>
      <c r="D69" s="8" t="str">
        <f>IF(AND(B69&lt;&gt;"",C69&lt;&gt;""),(C69-B69)*24,"")</f>
        <v/>
      </c>
      <c r="E69" s="9"/>
    </row>
    <row r="70" spans="1:5" ht="30" customHeight="1">
      <c r="A70" s="23"/>
      <c r="B70" s="24"/>
      <c r="C70" s="24"/>
      <c r="D70" s="25" t="str">
        <f>IF(AND(B70&lt;&gt;"",C70&lt;&gt;""),(C70-B70)*24,"")</f>
        <v/>
      </c>
      <c r="E70" s="26"/>
    </row>
    <row r="71" spans="1:5" ht="30" customHeight="1">
      <c r="A71" s="6"/>
      <c r="B71" s="7"/>
      <c r="C71" s="7"/>
      <c r="D71" s="8" t="str">
        <f>IF(AND(B71&lt;&gt;"",C71&lt;&gt;""),(C71-B71)*24,"")</f>
        <v/>
      </c>
      <c r="E71" s="9"/>
    </row>
    <row r="72" spans="1:5" ht="30" customHeight="1">
      <c r="A72" s="23"/>
      <c r="B72" s="24"/>
      <c r="C72" s="24"/>
      <c r="D72" s="25" t="str">
        <f>IF(AND(B72&lt;&gt;"",C72&lt;&gt;""),(C72-B72)*24,"")</f>
        <v/>
      </c>
      <c r="E72" s="26"/>
    </row>
    <row r="73" spans="1:5" ht="30" customHeight="1">
      <c r="A73" s="6"/>
      <c r="B73" s="7"/>
      <c r="C73" s="7"/>
      <c r="D73" s="8" t="str">
        <f>IF(AND(B73&lt;&gt;"",C73&lt;&gt;""),(C73-B73)*24,"")</f>
        <v/>
      </c>
      <c r="E73" s="9"/>
    </row>
    <row r="74" spans="1:5" ht="30" customHeight="1">
      <c r="A74" s="23"/>
      <c r="B74" s="24"/>
      <c r="C74" s="24"/>
      <c r="D74" s="25" t="str">
        <f>IF(AND(B74&lt;&gt;"",C74&lt;&gt;""),(C74-B74)*24,"")</f>
        <v/>
      </c>
      <c r="E74" s="26"/>
    </row>
    <row r="75" spans="1:5" ht="30" customHeight="1">
      <c r="A75" s="6"/>
      <c r="B75" s="7"/>
      <c r="C75" s="7"/>
      <c r="D75" s="8" t="str">
        <f>IF(AND(B75&lt;&gt;"",C75&lt;&gt;""),(C75-B75)*24,"")</f>
        <v/>
      </c>
      <c r="E75" s="9"/>
    </row>
    <row r="76" spans="1:5" ht="30" customHeight="1">
      <c r="A76" s="23"/>
      <c r="B76" s="24"/>
      <c r="C76" s="24"/>
      <c r="D76" s="25" t="str">
        <f>IF(AND(B76&lt;&gt;"",C76&lt;&gt;""),(C76-B76)*24,"")</f>
        <v/>
      </c>
      <c r="E76" s="26"/>
    </row>
    <row r="77" spans="1:5" ht="30" customHeight="1">
      <c r="A77" s="6"/>
      <c r="B77" s="7"/>
      <c r="C77" s="7"/>
      <c r="D77" s="8" t="str">
        <f>IF(AND(B77&lt;&gt;"",C77&lt;&gt;""),(C77-B77)*24,"")</f>
        <v/>
      </c>
      <c r="E77" s="9"/>
    </row>
    <row r="78" spans="1:5" ht="30" customHeight="1">
      <c r="A78" s="23"/>
      <c r="B78" s="24"/>
      <c r="C78" s="24"/>
      <c r="D78" s="25" t="str">
        <f>IF(AND(B78&lt;&gt;"",C78&lt;&gt;""),(C78-B78)*24,"")</f>
        <v/>
      </c>
      <c r="E78" s="26"/>
    </row>
    <row r="79" spans="1:5" ht="30" customHeight="1">
      <c r="A79" s="6"/>
      <c r="B79" s="7"/>
      <c r="C79" s="7"/>
      <c r="D79" s="8" t="str">
        <f>IF(AND(B79&lt;&gt;"",C79&lt;&gt;""),(C79-B79)*24,"")</f>
        <v/>
      </c>
      <c r="E79" s="9"/>
    </row>
    <row r="80" spans="1:5" ht="30" customHeight="1">
      <c r="A80" s="23"/>
      <c r="B80" s="24"/>
      <c r="C80" s="24"/>
      <c r="D80" s="25" t="str">
        <f>IF(AND(B80&lt;&gt;"",C80&lt;&gt;""),(C80-B80)*24,"")</f>
        <v/>
      </c>
      <c r="E80" s="26"/>
    </row>
    <row r="81" spans="1:5" ht="30" customHeight="1">
      <c r="A81" s="6"/>
      <c r="B81" s="7"/>
      <c r="C81" s="7"/>
      <c r="D81" s="8" t="str">
        <f>IF(AND(B81&lt;&gt;"",C81&lt;&gt;""),(C81-B81)*24,"")</f>
        <v/>
      </c>
      <c r="E81" s="9"/>
    </row>
    <row r="82" spans="1:5" ht="30" customHeight="1">
      <c r="A82" s="23"/>
      <c r="B82" s="24"/>
      <c r="C82" s="24"/>
      <c r="D82" s="25" t="str">
        <f>IF(AND(B82&lt;&gt;"",C82&lt;&gt;""),(C82-B82)*24,"")</f>
        <v/>
      </c>
      <c r="E82" s="26"/>
    </row>
    <row r="83" spans="1:5" ht="30" customHeight="1">
      <c r="A83" s="6"/>
      <c r="B83" s="7"/>
      <c r="C83" s="7"/>
      <c r="D83" s="8" t="str">
        <f>IF(AND(B83&lt;&gt;"",C83&lt;&gt;""),(C83-B83)*24,"")</f>
        <v/>
      </c>
      <c r="E83" s="9"/>
    </row>
    <row r="84" spans="1:5" ht="30" customHeight="1">
      <c r="A84" s="23"/>
      <c r="B84" s="24"/>
      <c r="C84" s="24"/>
      <c r="D84" s="25" t="str">
        <f>IF(AND(B84&lt;&gt;"",C84&lt;&gt;""),(C84-B84)*24,"")</f>
        <v/>
      </c>
      <c r="E84" s="26"/>
    </row>
    <row r="85" spans="1:5" ht="30" customHeight="1">
      <c r="A85" s="6"/>
      <c r="B85" s="7"/>
      <c r="C85" s="7"/>
      <c r="D85" s="8" t="str">
        <f>IF(AND(B85&lt;&gt;"",C85&lt;&gt;""),(C85-B85)*24,"")</f>
        <v/>
      </c>
      <c r="E85" s="9"/>
    </row>
    <row r="86" spans="1:5" ht="30" customHeight="1">
      <c r="A86" s="23"/>
      <c r="B86" s="24"/>
      <c r="C86" s="24"/>
      <c r="D86" s="25" t="str">
        <f>IF(AND(B86&lt;&gt;"",C86&lt;&gt;""),(C86-B86)*24,"")</f>
        <v/>
      </c>
      <c r="E86" s="26"/>
    </row>
    <row r="87" spans="1:5" ht="30" customHeight="1">
      <c r="A87" s="6"/>
      <c r="B87" s="7"/>
      <c r="C87" s="7"/>
      <c r="D87" s="8" t="str">
        <f>IF(AND(B87&lt;&gt;"",C87&lt;&gt;""),(C87-B87)*24,"")</f>
        <v/>
      </c>
      <c r="E87" s="9"/>
    </row>
    <row r="88" spans="1:5" ht="30" customHeight="1">
      <c r="A88" s="23"/>
      <c r="B88" s="24"/>
      <c r="C88" s="24"/>
      <c r="D88" s="25" t="str">
        <f>IF(AND(B88&lt;&gt;"",C88&lt;&gt;""),(C88-B88)*24,"")</f>
        <v/>
      </c>
      <c r="E88" s="26"/>
    </row>
    <row r="89" spans="1:5" ht="30" customHeight="1">
      <c r="A89" s="6"/>
      <c r="B89" s="7"/>
      <c r="C89" s="7"/>
      <c r="D89" s="8" t="str">
        <f>IF(AND(B89&lt;&gt;"",C89&lt;&gt;""),(C89-B89)*24,"")</f>
        <v/>
      </c>
      <c r="E89" s="9"/>
    </row>
    <row r="90" spans="1:5" ht="30" customHeight="1">
      <c r="A90" s="23"/>
      <c r="B90" s="24"/>
      <c r="C90" s="24"/>
      <c r="D90" s="25" t="str">
        <f>IF(AND(B90&lt;&gt;"",C90&lt;&gt;""),(C90-B90)*24,"")</f>
        <v/>
      </c>
      <c r="E90" s="26"/>
    </row>
    <row r="91" spans="1:5" ht="30" customHeight="1">
      <c r="A91" s="6"/>
      <c r="B91" s="7"/>
      <c r="C91" s="7"/>
      <c r="D91" s="8" t="str">
        <f>IF(AND(B91&lt;&gt;"",C91&lt;&gt;""),(C91-B91)*24,"")</f>
        <v/>
      </c>
      <c r="E91" s="9"/>
    </row>
    <row r="92" spans="1:5" ht="30" customHeight="1">
      <c r="A92" s="23"/>
      <c r="B92" s="24"/>
      <c r="C92" s="24"/>
      <c r="D92" s="25" t="str">
        <f>IF(AND(B92&lt;&gt;"",C92&lt;&gt;""),(C92-B92)*24,"")</f>
        <v/>
      </c>
      <c r="E92" s="26"/>
    </row>
    <row r="93" spans="1:5" ht="30" customHeight="1">
      <c r="A93" s="6"/>
      <c r="B93" s="7"/>
      <c r="C93" s="7"/>
      <c r="D93" s="8" t="str">
        <f>IF(AND(B93&lt;&gt;"",C93&lt;&gt;""),(C93-B93)*24,"")</f>
        <v/>
      </c>
      <c r="E93" s="9"/>
    </row>
    <row r="94" spans="1:5" ht="30" customHeight="1">
      <c r="A94" s="23"/>
      <c r="B94" s="24"/>
      <c r="C94" s="24"/>
      <c r="D94" s="25" t="str">
        <f>IF(AND(B94&lt;&gt;"",C94&lt;&gt;""),(C94-B94)*24,"")</f>
        <v/>
      </c>
      <c r="E94" s="26"/>
    </row>
    <row r="95" spans="1:5" ht="30" customHeight="1">
      <c r="A95" s="6"/>
      <c r="B95" s="7"/>
      <c r="C95" s="7"/>
      <c r="D95" s="8" t="str">
        <f>IF(AND(B95&lt;&gt;"",C95&lt;&gt;""),(C95-B95)*24,"")</f>
        <v/>
      </c>
      <c r="E95" s="9"/>
    </row>
    <row r="96" spans="1:5" ht="30" customHeight="1">
      <c r="A96" s="23"/>
      <c r="B96" s="24"/>
      <c r="C96" s="24"/>
      <c r="D96" s="25" t="str">
        <f>IF(AND(B96&lt;&gt;"",C96&lt;&gt;""),(C96-B96)*24,"")</f>
        <v/>
      </c>
      <c r="E96" s="26"/>
    </row>
    <row r="97" spans="1:5" ht="30" customHeight="1">
      <c r="A97" s="6"/>
      <c r="B97" s="7"/>
      <c r="C97" s="7"/>
      <c r="D97" s="8" t="str">
        <f>IF(AND(B97&lt;&gt;"",C97&lt;&gt;""),(C97-B97)*24,"")</f>
        <v/>
      </c>
      <c r="E97" s="9"/>
    </row>
    <row r="98" spans="1:5" ht="30" customHeight="1">
      <c r="A98" s="23"/>
      <c r="B98" s="24"/>
      <c r="C98" s="24"/>
      <c r="D98" s="25" t="str">
        <f>IF(AND(B98&lt;&gt;"",C98&lt;&gt;""),(C98-B98)*24,"")</f>
        <v/>
      </c>
      <c r="E98" s="26"/>
    </row>
    <row r="99" spans="1:5" ht="30" customHeight="1">
      <c r="A99" s="6"/>
      <c r="B99" s="7"/>
      <c r="C99" s="7"/>
      <c r="D99" s="8" t="str">
        <f>IF(AND(B99&lt;&gt;"",C99&lt;&gt;""),(C99-B99)*24,"")</f>
        <v/>
      </c>
      <c r="E99" s="9"/>
    </row>
    <row r="100" spans="1:5" ht="30" customHeight="1">
      <c r="A100" s="23"/>
      <c r="B100" s="24"/>
      <c r="C100" s="24"/>
      <c r="D100" s="25" t="str">
        <f>IF(AND(B100&lt;&gt;"",C100&lt;&gt;""),(C100-B100)*24,"")</f>
        <v/>
      </c>
      <c r="E100" s="26"/>
    </row>
    <row r="101" spans="1:5" ht="30" customHeight="1">
      <c r="A101" s="6"/>
      <c r="B101" s="7"/>
      <c r="C101" s="7"/>
      <c r="D101" s="8" t="str">
        <f>IF(AND(B101&lt;&gt;"",C101&lt;&gt;""),(C101-B101)*24,"")</f>
        <v/>
      </c>
      <c r="E101" s="9"/>
    </row>
    <row r="102" spans="1:5" ht="30" customHeight="1">
      <c r="A102" s="23"/>
      <c r="B102" s="24"/>
      <c r="C102" s="24"/>
      <c r="D102" s="25" t="str">
        <f>IF(AND(B102&lt;&gt;"",C102&lt;&gt;""),(C102-B102)*24,"")</f>
        <v/>
      </c>
      <c r="E102" s="26"/>
    </row>
    <row r="103" spans="1:5" ht="30" customHeight="1">
      <c r="A103" s="6"/>
      <c r="B103" s="7"/>
      <c r="C103" s="7"/>
      <c r="D103" s="8" t="str">
        <f>IF(AND(B103&lt;&gt;"",C103&lt;&gt;""),(C103-B103)*24,"")</f>
        <v/>
      </c>
      <c r="E103" s="9"/>
    </row>
    <row r="104" spans="1:5" ht="30" customHeight="1">
      <c r="A104" s="23"/>
      <c r="B104" s="24"/>
      <c r="C104" s="24"/>
      <c r="D104" s="25" t="str">
        <f>IF(AND(B104&lt;&gt;"",C104&lt;&gt;""),(C104-B104)*24,"")</f>
        <v/>
      </c>
      <c r="E104" s="26"/>
    </row>
    <row r="105" spans="1:5" ht="30" customHeight="1">
      <c r="A105" s="6"/>
      <c r="B105" s="7"/>
      <c r="C105" s="7"/>
      <c r="D105" s="8" t="str">
        <f>IF(AND(B105&lt;&gt;"",C105&lt;&gt;""),(C105-B105)*24,"")</f>
        <v/>
      </c>
      <c r="E105" s="9"/>
    </row>
    <row r="106" spans="1:5" ht="30" customHeight="1">
      <c r="A106" s="23"/>
      <c r="B106" s="24"/>
      <c r="C106" s="24"/>
      <c r="D106" s="25" t="str">
        <f>IF(AND(B106&lt;&gt;"",C106&lt;&gt;""),(C106-B106)*24,"")</f>
        <v/>
      </c>
      <c r="E106" s="26"/>
    </row>
    <row r="107" spans="1:5" ht="30" customHeight="1">
      <c r="A107" s="6"/>
      <c r="B107" s="7"/>
      <c r="C107" s="7"/>
      <c r="D107" s="8" t="str">
        <f>IF(AND(B107&lt;&gt;"",C107&lt;&gt;""),(C107-B107)*24,"")</f>
        <v/>
      </c>
      <c r="E107" s="9"/>
    </row>
    <row r="108" spans="1:5" ht="30" customHeight="1">
      <c r="A108" s="23"/>
      <c r="B108" s="24"/>
      <c r="C108" s="24"/>
      <c r="D108" s="25" t="str">
        <f>IF(AND(B108&lt;&gt;"",C108&lt;&gt;""),(C108-B108)*24,"")</f>
        <v/>
      </c>
      <c r="E108" s="26"/>
    </row>
    <row r="109" spans="1:5" ht="30" customHeight="1">
      <c r="A109" s="6"/>
      <c r="B109" s="7"/>
      <c r="C109" s="7"/>
      <c r="D109" s="8" t="str">
        <f>IF(AND(B109&lt;&gt;"",C109&lt;&gt;""),(C109-B109)*24,"")</f>
        <v/>
      </c>
      <c r="E109" s="9"/>
    </row>
    <row r="110" spans="1:5" ht="30" customHeight="1">
      <c r="A110" s="23"/>
      <c r="B110" s="24"/>
      <c r="C110" s="24"/>
      <c r="D110" s="25" t="str">
        <f>IF(AND(B110&lt;&gt;"",C110&lt;&gt;""),(C110-B110)*24,"")</f>
        <v/>
      </c>
      <c r="E110" s="26"/>
    </row>
    <row r="111" spans="1:5" ht="30" customHeight="1">
      <c r="A111" s="6"/>
      <c r="B111" s="7"/>
      <c r="C111" s="7"/>
      <c r="D111" s="8" t="str">
        <f>IF(AND(B111&lt;&gt;"",C111&lt;&gt;""),(C111-B111)*24,"")</f>
        <v/>
      </c>
      <c r="E111" s="9"/>
    </row>
    <row r="112" spans="1:5" ht="30" customHeight="1">
      <c r="A112" s="23"/>
      <c r="B112" s="24"/>
      <c r="C112" s="24"/>
      <c r="D112" s="25" t="str">
        <f>IF(AND(B112&lt;&gt;"",C112&lt;&gt;""),(C112-B112)*24,"")</f>
        <v/>
      </c>
      <c r="E112" s="26"/>
    </row>
    <row r="113" spans="1:5" ht="30" customHeight="1">
      <c r="A113" s="6"/>
      <c r="B113" s="7"/>
      <c r="C113" s="7"/>
      <c r="D113" s="8" t="str">
        <f>IF(AND(B113&lt;&gt;"",C113&lt;&gt;""),(C113-B113)*24,"")</f>
        <v/>
      </c>
      <c r="E113" s="9"/>
    </row>
    <row r="114" spans="1:5" ht="30" customHeight="1">
      <c r="A114" s="23"/>
      <c r="B114" s="24"/>
      <c r="C114" s="24"/>
      <c r="D114" s="25" t="str">
        <f>IF(AND(B114&lt;&gt;"",C114&lt;&gt;""),(C114-B114)*24,"")</f>
        <v/>
      </c>
      <c r="E114" s="26"/>
    </row>
    <row r="115" spans="1:5" ht="30" customHeight="1">
      <c r="A115" s="6"/>
      <c r="B115" s="7"/>
      <c r="C115" s="7"/>
      <c r="D115" s="8" t="str">
        <f>IF(AND(B115&lt;&gt;"",C115&lt;&gt;""),(C115-B115)*24,"")</f>
        <v/>
      </c>
      <c r="E115" s="9"/>
    </row>
    <row r="116" spans="1:5" ht="30" customHeight="1">
      <c r="A116" s="23"/>
      <c r="B116" s="24"/>
      <c r="C116" s="24"/>
      <c r="D116" s="25" t="str">
        <f>IF(AND(B116&lt;&gt;"",C116&lt;&gt;""),(C116-B116)*24,"")</f>
        <v/>
      </c>
      <c r="E116" s="26"/>
    </row>
    <row r="117" spans="1:5" ht="30" customHeight="1">
      <c r="A117" s="6"/>
      <c r="B117" s="7"/>
      <c r="C117" s="7"/>
      <c r="D117" s="8" t="str">
        <f>IF(AND(B117&lt;&gt;"",C117&lt;&gt;""),(C117-B117)*24,"")</f>
        <v/>
      </c>
      <c r="E117" s="9"/>
    </row>
    <row r="118" spans="1:5" ht="30" customHeight="1">
      <c r="A118" s="23"/>
      <c r="B118" s="24"/>
      <c r="C118" s="24"/>
      <c r="D118" s="25" t="str">
        <f>IF(AND(B118&lt;&gt;"",C118&lt;&gt;""),(C118-B118)*24,"")</f>
        <v/>
      </c>
      <c r="E118" s="26"/>
    </row>
    <row r="119" spans="1:5" ht="30" customHeight="1">
      <c r="A119" s="6"/>
      <c r="B119" s="7"/>
      <c r="C119" s="7"/>
      <c r="D119" s="8" t="str">
        <f>IF(AND(B119&lt;&gt;"",C119&lt;&gt;""),(C119-B119)*24,"")</f>
        <v/>
      </c>
      <c r="E119" s="9"/>
    </row>
    <row r="120" spans="1:5" ht="30" customHeight="1">
      <c r="A120" s="23"/>
      <c r="B120" s="24"/>
      <c r="C120" s="24"/>
      <c r="D120" s="25" t="str">
        <f>IF(AND(B120&lt;&gt;"",C120&lt;&gt;""),(C120-B120)*24,"")</f>
        <v/>
      </c>
      <c r="E120" s="26"/>
    </row>
    <row r="121" spans="1:5" ht="30" customHeight="1">
      <c r="A121" s="6"/>
      <c r="B121" s="7"/>
      <c r="C121" s="7"/>
      <c r="D121" s="8" t="str">
        <f>IF(AND(B121&lt;&gt;"",C121&lt;&gt;""),(C121-B121)*24,"")</f>
        <v/>
      </c>
      <c r="E121" s="9"/>
    </row>
    <row r="122" spans="1:5" ht="30" customHeight="1">
      <c r="A122" s="23"/>
      <c r="B122" s="24"/>
      <c r="C122" s="24"/>
      <c r="D122" s="25" t="str">
        <f>IF(AND(B122&lt;&gt;"",C122&lt;&gt;""),(C122-B122)*24,"")</f>
        <v/>
      </c>
      <c r="E122" s="26"/>
    </row>
    <row r="123" spans="1:5" ht="30" customHeight="1">
      <c r="A123" s="6"/>
      <c r="B123" s="7"/>
      <c r="C123" s="7"/>
      <c r="D123" s="8" t="str">
        <f>IF(AND(B123&lt;&gt;"",C123&lt;&gt;""),(C123-B123)*24,"")</f>
        <v/>
      </c>
      <c r="E123" s="9"/>
    </row>
    <row r="124" spans="1:5" ht="30" customHeight="1">
      <c r="A124" s="23"/>
      <c r="B124" s="24"/>
      <c r="C124" s="24"/>
      <c r="D124" s="25" t="str">
        <f>IF(AND(B124&lt;&gt;"",C124&lt;&gt;""),(C124-B124)*24,"")</f>
        <v/>
      </c>
      <c r="E124" s="26"/>
    </row>
    <row r="125" spans="1:5" ht="30" customHeight="1">
      <c r="A125" s="6"/>
      <c r="B125" s="7"/>
      <c r="C125" s="7"/>
      <c r="D125" s="8" t="str">
        <f>IF(AND(B125&lt;&gt;"",C125&lt;&gt;""),(C125-B125)*24,"")</f>
        <v/>
      </c>
      <c r="E125" s="9"/>
    </row>
    <row r="126" spans="1:5" ht="30" customHeight="1">
      <c r="A126" s="23"/>
      <c r="B126" s="24"/>
      <c r="C126" s="24"/>
      <c r="D126" s="25" t="str">
        <f>IF(AND(B126&lt;&gt;"",C126&lt;&gt;""),(C126-B126)*24,"")</f>
        <v/>
      </c>
      <c r="E126" s="26"/>
    </row>
    <row r="127" spans="1:5" ht="30" customHeight="1">
      <c r="A127" s="6"/>
      <c r="B127" s="7"/>
      <c r="C127" s="7"/>
      <c r="D127" s="8" t="str">
        <f>IF(AND(B127&lt;&gt;"",C127&lt;&gt;""),(C127-B127)*24,"")</f>
        <v/>
      </c>
      <c r="E127" s="9"/>
    </row>
    <row r="128" spans="1:5" ht="30" customHeight="1">
      <c r="A128" s="23"/>
      <c r="B128" s="24"/>
      <c r="C128" s="24"/>
      <c r="D128" s="25" t="str">
        <f>IF(AND(B128&lt;&gt;"",C128&lt;&gt;""),(C128-B128)*24,"")</f>
        <v/>
      </c>
      <c r="E128" s="26"/>
    </row>
    <row r="129" spans="1:5" ht="30" customHeight="1">
      <c r="A129" s="6"/>
      <c r="B129" s="7"/>
      <c r="C129" s="7"/>
      <c r="D129" s="8" t="str">
        <f>IF(AND(B129&lt;&gt;"",C129&lt;&gt;""),(C129-B129)*24,"")</f>
        <v/>
      </c>
      <c r="E129" s="9"/>
    </row>
    <row r="130" spans="1:5" ht="30" customHeight="1">
      <c r="A130" s="23"/>
      <c r="B130" s="24"/>
      <c r="C130" s="24"/>
      <c r="D130" s="25" t="str">
        <f>IF(AND(B130&lt;&gt;"",C130&lt;&gt;""),(C130-B130)*24,"")</f>
        <v/>
      </c>
      <c r="E130" s="26"/>
    </row>
    <row r="131" spans="1:5" ht="30" customHeight="1">
      <c r="A131" s="6"/>
      <c r="B131" s="7"/>
      <c r="C131" s="7"/>
      <c r="D131" s="8" t="str">
        <f>IF(AND(B131&lt;&gt;"",C131&lt;&gt;""),(C131-B131)*24,"")</f>
        <v/>
      </c>
      <c r="E131" s="9"/>
    </row>
    <row r="132" spans="1:5" ht="30" customHeight="1">
      <c r="A132" s="23"/>
      <c r="B132" s="24"/>
      <c r="C132" s="24"/>
      <c r="D132" s="25" t="str">
        <f>IF(AND(B132&lt;&gt;"",C132&lt;&gt;""),(C132-B132)*24,"")</f>
        <v/>
      </c>
      <c r="E132" s="26"/>
    </row>
    <row r="133" spans="1:5" ht="30" customHeight="1">
      <c r="A133" s="6"/>
      <c r="B133" s="7"/>
      <c r="C133" s="7"/>
      <c r="D133" s="8" t="str">
        <f>IF(AND(B133&lt;&gt;"",C133&lt;&gt;""),(C133-B133)*24,"")</f>
        <v/>
      </c>
      <c r="E133" s="9"/>
    </row>
    <row r="134" spans="1:5" ht="30" customHeight="1">
      <c r="A134" s="23"/>
      <c r="B134" s="24"/>
      <c r="C134" s="24"/>
      <c r="D134" s="25" t="str">
        <f>IF(AND(B134&lt;&gt;"",C134&lt;&gt;""),(C134-B134)*24,"")</f>
        <v/>
      </c>
      <c r="E134" s="26"/>
    </row>
    <row r="135" spans="1:5" ht="30" customHeight="1">
      <c r="A135" s="6"/>
      <c r="B135" s="7"/>
      <c r="C135" s="7"/>
      <c r="D135" s="8" t="str">
        <f>IF(AND(B135&lt;&gt;"",C135&lt;&gt;""),(C135-B135)*24,"")</f>
        <v/>
      </c>
      <c r="E135" s="9"/>
    </row>
    <row r="136" spans="1:5" ht="30" customHeight="1">
      <c r="A136" s="23"/>
      <c r="B136" s="24"/>
      <c r="C136" s="24"/>
      <c r="D136" s="25" t="str">
        <f>IF(AND(B136&lt;&gt;"",C136&lt;&gt;""),(C136-B136)*24,"")</f>
        <v/>
      </c>
      <c r="E136" s="26"/>
    </row>
    <row r="137" spans="1:5" ht="30" customHeight="1">
      <c r="A137" s="6"/>
      <c r="B137" s="7"/>
      <c r="C137" s="7"/>
      <c r="D137" s="8" t="str">
        <f>IF(AND(B137&lt;&gt;"",C137&lt;&gt;""),(C137-B137)*24,"")</f>
        <v/>
      </c>
      <c r="E137" s="9"/>
    </row>
    <row r="138" spans="1:5" ht="30" customHeight="1">
      <c r="A138" s="23"/>
      <c r="B138" s="24"/>
      <c r="C138" s="24"/>
      <c r="D138" s="25" t="str">
        <f>IF(AND(B138&lt;&gt;"",C138&lt;&gt;""),(C138-B138)*24,"")</f>
        <v/>
      </c>
      <c r="E138" s="26"/>
    </row>
    <row r="139" spans="1:5" ht="30" customHeight="1">
      <c r="A139" s="6"/>
      <c r="B139" s="7"/>
      <c r="C139" s="7"/>
      <c r="D139" s="8" t="str">
        <f>IF(AND(B139&lt;&gt;"",C139&lt;&gt;""),(C139-B139)*24,"")</f>
        <v/>
      </c>
      <c r="E139" s="9"/>
    </row>
    <row r="140" spans="1:5" ht="30" customHeight="1">
      <c r="A140" s="23"/>
      <c r="B140" s="24"/>
      <c r="C140" s="24"/>
      <c r="D140" s="25" t="str">
        <f>IF(AND(B140&lt;&gt;"",C140&lt;&gt;""),(C140-B140)*24,"")</f>
        <v/>
      </c>
      <c r="E140" s="26"/>
    </row>
    <row r="141" spans="1:5" ht="30" customHeight="1">
      <c r="A141" s="6"/>
      <c r="B141" s="7"/>
      <c r="C141" s="7"/>
      <c r="D141" s="8" t="str">
        <f>IF(AND(B141&lt;&gt;"",C141&lt;&gt;""),(C141-B141)*24,"")</f>
        <v/>
      </c>
      <c r="E141" s="9"/>
    </row>
    <row r="142" spans="1:5" ht="30" customHeight="1">
      <c r="A142" s="23"/>
      <c r="B142" s="24"/>
      <c r="C142" s="24"/>
      <c r="D142" s="25" t="str">
        <f>IF(AND(B142&lt;&gt;"",C142&lt;&gt;""),(C142-B142)*24,"")</f>
        <v/>
      </c>
      <c r="E142" s="26"/>
    </row>
    <row r="143" spans="1:5" ht="30" customHeight="1">
      <c r="A143" s="6"/>
      <c r="B143" s="7"/>
      <c r="C143" s="7"/>
      <c r="D143" s="8" t="str">
        <f>IF(AND(B143&lt;&gt;"",C143&lt;&gt;""),(C143-B143)*24,"")</f>
        <v/>
      </c>
      <c r="E143" s="9"/>
    </row>
    <row r="144" spans="1:5" ht="30" customHeight="1">
      <c r="A144" s="23"/>
      <c r="B144" s="24"/>
      <c r="C144" s="24"/>
      <c r="D144" s="25" t="str">
        <f>IF(AND(B144&lt;&gt;"",C144&lt;&gt;""),(C144-B144)*24,"")</f>
        <v/>
      </c>
      <c r="E144" s="26"/>
    </row>
    <row r="145" spans="1:5" ht="30" customHeight="1">
      <c r="A145" s="6"/>
      <c r="B145" s="7"/>
      <c r="C145" s="7"/>
      <c r="D145" s="8" t="str">
        <f>IF(AND(B145&lt;&gt;"",C145&lt;&gt;""),(C145-B145)*24,"")</f>
        <v/>
      </c>
      <c r="E145" s="9"/>
    </row>
    <row r="146" spans="1:5" ht="30" customHeight="1">
      <c r="A146" s="23"/>
      <c r="B146" s="24"/>
      <c r="C146" s="24"/>
      <c r="D146" s="25" t="str">
        <f>IF(AND(B146&lt;&gt;"",C146&lt;&gt;""),(C146-B146)*24,"")</f>
        <v/>
      </c>
      <c r="E146" s="26"/>
    </row>
    <row r="147" spans="1:5" ht="30" customHeight="1">
      <c r="A147" s="6"/>
      <c r="B147" s="7"/>
      <c r="C147" s="7"/>
      <c r="D147" s="8" t="str">
        <f>IF(AND(B147&lt;&gt;"",C147&lt;&gt;""),(C147-B147)*24,"")</f>
        <v/>
      </c>
      <c r="E147" s="9"/>
    </row>
    <row r="148" spans="1:5" ht="30" customHeight="1">
      <c r="A148" s="23"/>
      <c r="B148" s="24"/>
      <c r="C148" s="24"/>
      <c r="D148" s="25" t="str">
        <f>IF(AND(B148&lt;&gt;"",C148&lt;&gt;""),(C148-B148)*24,"")</f>
        <v/>
      </c>
      <c r="E148" s="26"/>
    </row>
    <row r="149" spans="1:5" ht="30" customHeight="1">
      <c r="A149" s="6"/>
      <c r="B149" s="7"/>
      <c r="C149" s="7"/>
      <c r="D149" s="8" t="str">
        <f>IF(AND(B149&lt;&gt;"",C149&lt;&gt;""),(C149-B149)*24,"")</f>
        <v/>
      </c>
      <c r="E149" s="9"/>
    </row>
    <row r="150" spans="1:5" ht="30" customHeight="1">
      <c r="A150" s="23"/>
      <c r="B150" s="24"/>
      <c r="C150" s="24"/>
      <c r="D150" s="25" t="str">
        <f>IF(AND(B150&lt;&gt;"",C150&lt;&gt;""),(C150-B150)*24,"")</f>
        <v/>
      </c>
      <c r="E150" s="26"/>
    </row>
    <row r="151" spans="1:5" ht="30" customHeight="1">
      <c r="A151" s="6"/>
      <c r="B151" s="7"/>
      <c r="C151" s="7"/>
      <c r="D151" s="8" t="str">
        <f>IF(AND(B151&lt;&gt;"",C151&lt;&gt;""),(C151-B151)*24,"")</f>
        <v/>
      </c>
      <c r="E151" s="9"/>
    </row>
    <row r="152" spans="1:5" ht="30" customHeight="1">
      <c r="A152" s="23"/>
      <c r="B152" s="24"/>
      <c r="C152" s="24"/>
      <c r="D152" s="25" t="str">
        <f>IF(AND(B152&lt;&gt;"",C152&lt;&gt;""),(C152-B152)*24,"")</f>
        <v/>
      </c>
      <c r="E152" s="26"/>
    </row>
    <row r="153" spans="1:5" ht="30" customHeight="1">
      <c r="A153" s="6"/>
      <c r="B153" s="7"/>
      <c r="C153" s="7"/>
      <c r="D153" s="8" t="str">
        <f>IF(AND(B153&lt;&gt;"",C153&lt;&gt;""),(C153-B153)*24,"")</f>
        <v/>
      </c>
      <c r="E153" s="9"/>
    </row>
    <row r="154" spans="1:5" ht="30" customHeight="1">
      <c r="A154" s="23"/>
      <c r="B154" s="24"/>
      <c r="C154" s="24"/>
      <c r="D154" s="25" t="str">
        <f>IF(AND(B154&lt;&gt;"",C154&lt;&gt;""),(C154-B154)*24,"")</f>
        <v/>
      </c>
      <c r="E154" s="26"/>
    </row>
    <row r="155" spans="1:5" ht="30" customHeight="1">
      <c r="A155" s="6"/>
      <c r="B155" s="7"/>
      <c r="C155" s="7"/>
      <c r="D155" s="8" t="str">
        <f>IF(AND(B155&lt;&gt;"",C155&lt;&gt;""),(C155-B155)*24,"")</f>
        <v/>
      </c>
      <c r="E155" s="9"/>
    </row>
    <row r="156" spans="1:5" ht="30" customHeight="1">
      <c r="A156" s="23"/>
      <c r="B156" s="24"/>
      <c r="C156" s="24"/>
      <c r="D156" s="25" t="str">
        <f>IF(AND(B156&lt;&gt;"",C156&lt;&gt;""),(C156-B156)*24,"")</f>
        <v/>
      </c>
      <c r="E156" s="26"/>
    </row>
    <row r="157" spans="1:5" ht="30" customHeight="1">
      <c r="A157" s="6"/>
      <c r="B157" s="7"/>
      <c r="C157" s="7"/>
      <c r="D157" s="8" t="str">
        <f>IF(AND(B157&lt;&gt;"",C157&lt;&gt;""),(C157-B157)*24,"")</f>
        <v/>
      </c>
      <c r="E157" s="9"/>
    </row>
    <row r="158" spans="1:5" ht="30" customHeight="1">
      <c r="A158" s="23"/>
      <c r="B158" s="24"/>
      <c r="C158" s="24"/>
      <c r="D158" s="25" t="str">
        <f>IF(AND(B158&lt;&gt;"",C158&lt;&gt;""),(C158-B158)*24,"")</f>
        <v/>
      </c>
      <c r="E158" s="26"/>
    </row>
    <row r="159" spans="1:5" ht="30" customHeight="1">
      <c r="A159" s="6"/>
      <c r="B159" s="7"/>
      <c r="C159" s="7"/>
      <c r="D159" s="8" t="str">
        <f>IF(AND(B159&lt;&gt;"",C159&lt;&gt;""),(C159-B159)*24,"")</f>
        <v/>
      </c>
      <c r="E159" s="9"/>
    </row>
    <row r="160" spans="1:5" ht="30" customHeight="1">
      <c r="A160" s="23"/>
      <c r="B160" s="24"/>
      <c r="C160" s="24"/>
      <c r="D160" s="25" t="str">
        <f>IF(AND(B160&lt;&gt;"",C160&lt;&gt;""),(C160-B160)*24,"")</f>
        <v/>
      </c>
      <c r="E160" s="26"/>
    </row>
    <row r="161" spans="1:5" ht="30" customHeight="1">
      <c r="A161" s="6"/>
      <c r="B161" s="7"/>
      <c r="C161" s="7"/>
      <c r="D161" s="8" t="str">
        <f>IF(AND(B161&lt;&gt;"",C161&lt;&gt;""),(C161-B161)*24,"")</f>
        <v/>
      </c>
      <c r="E161" s="9"/>
    </row>
    <row r="162" spans="1:5" ht="30" customHeight="1">
      <c r="A162" s="23"/>
      <c r="B162" s="24"/>
      <c r="C162" s="24"/>
      <c r="D162" s="25" t="str">
        <f>IF(AND(B162&lt;&gt;"",C162&lt;&gt;""),(C162-B162)*24,"")</f>
        <v/>
      </c>
      <c r="E162" s="26"/>
    </row>
    <row r="163" spans="1:5" ht="30" customHeight="1">
      <c r="A163" s="6"/>
      <c r="B163" s="7"/>
      <c r="C163" s="7"/>
      <c r="D163" s="8" t="str">
        <f>IF(AND(B163&lt;&gt;"",C163&lt;&gt;""),(C163-B163)*24,"")</f>
        <v/>
      </c>
      <c r="E163" s="9"/>
    </row>
    <row r="164" spans="1:5" ht="30" customHeight="1">
      <c r="A164" s="23"/>
      <c r="B164" s="24"/>
      <c r="C164" s="24"/>
      <c r="D164" s="25" t="str">
        <f>IF(AND(B164&lt;&gt;"",C164&lt;&gt;""),(C164-B164)*24,"")</f>
        <v/>
      </c>
      <c r="E164" s="26"/>
    </row>
    <row r="165" spans="1:5" ht="30" customHeight="1">
      <c r="A165" s="6"/>
      <c r="B165" s="7"/>
      <c r="C165" s="7"/>
      <c r="D165" s="8" t="str">
        <f>IF(AND(B165&lt;&gt;"",C165&lt;&gt;""),(C165-B165)*24,"")</f>
        <v/>
      </c>
      <c r="E165" s="9"/>
    </row>
    <row r="166" spans="1:5" ht="30" customHeight="1">
      <c r="A166" s="23"/>
      <c r="B166" s="24"/>
      <c r="C166" s="24"/>
      <c r="D166" s="25" t="str">
        <f>IF(AND(B166&lt;&gt;"",C166&lt;&gt;""),(C166-B166)*24,"")</f>
        <v/>
      </c>
      <c r="E166" s="26"/>
    </row>
    <row r="167" spans="1:5" ht="30" customHeight="1">
      <c r="A167" s="6"/>
      <c r="B167" s="7"/>
      <c r="C167" s="7"/>
      <c r="D167" s="8" t="str">
        <f>IF(AND(B167&lt;&gt;"",C167&lt;&gt;""),(C167-B167)*24,"")</f>
        <v/>
      </c>
      <c r="E167" s="9"/>
    </row>
    <row r="168" spans="1:5" ht="30" customHeight="1">
      <c r="A168" s="23"/>
      <c r="B168" s="24"/>
      <c r="C168" s="24"/>
      <c r="D168" s="25" t="str">
        <f>IF(AND(B168&lt;&gt;"",C168&lt;&gt;""),(C168-B168)*24,"")</f>
        <v/>
      </c>
      <c r="E168" s="26"/>
    </row>
    <row r="169" spans="1:5" ht="30" customHeight="1">
      <c r="A169" s="6"/>
      <c r="B169" s="7"/>
      <c r="C169" s="7"/>
      <c r="D169" s="8" t="str">
        <f>IF(AND(B169&lt;&gt;"",C169&lt;&gt;""),(C169-B169)*24,"")</f>
        <v/>
      </c>
      <c r="E169" s="9"/>
    </row>
    <row r="170" spans="1:5" ht="30" customHeight="1">
      <c r="A170" s="23"/>
      <c r="B170" s="24"/>
      <c r="C170" s="24"/>
      <c r="D170" s="25" t="str">
        <f>IF(AND(B170&lt;&gt;"",C170&lt;&gt;""),(C170-B170)*24,"")</f>
        <v/>
      </c>
      <c r="E170" s="26"/>
    </row>
    <row r="171" spans="1:5" ht="30" customHeight="1">
      <c r="A171" s="6"/>
      <c r="B171" s="7"/>
      <c r="C171" s="7"/>
      <c r="D171" s="8" t="str">
        <f>IF(AND(B171&lt;&gt;"",C171&lt;&gt;""),(C171-B171)*24,"")</f>
        <v/>
      </c>
      <c r="E171" s="9"/>
    </row>
    <row r="172" spans="1:5" ht="30" customHeight="1">
      <c r="A172" s="23"/>
      <c r="B172" s="24"/>
      <c r="C172" s="24"/>
      <c r="D172" s="25" t="str">
        <f>IF(AND(B172&lt;&gt;"",C172&lt;&gt;""),(C172-B172)*24,"")</f>
        <v/>
      </c>
      <c r="E172" s="26"/>
    </row>
    <row r="173" spans="1:5" ht="30" customHeight="1">
      <c r="A173" s="6"/>
      <c r="B173" s="7"/>
      <c r="C173" s="7"/>
      <c r="D173" s="8" t="str">
        <f>IF(AND(B173&lt;&gt;"",C173&lt;&gt;""),(C173-B173)*24,"")</f>
        <v/>
      </c>
      <c r="E173" s="9"/>
    </row>
    <row r="174" spans="1:5" ht="30" customHeight="1">
      <c r="A174" s="23"/>
      <c r="B174" s="24"/>
      <c r="C174" s="24"/>
      <c r="D174" s="25" t="str">
        <f>IF(AND(B174&lt;&gt;"",C174&lt;&gt;""),(C174-B174)*24,"")</f>
        <v/>
      </c>
      <c r="E174" s="26"/>
    </row>
    <row r="175" spans="1:5" ht="30" customHeight="1">
      <c r="A175" s="6"/>
      <c r="B175" s="7"/>
      <c r="C175" s="7"/>
      <c r="D175" s="8" t="str">
        <f>IF(AND(B175&lt;&gt;"",C175&lt;&gt;""),(C175-B175)*24,"")</f>
        <v/>
      </c>
      <c r="E175" s="9"/>
    </row>
    <row r="176" spans="1:5" ht="30" customHeight="1">
      <c r="A176" s="23"/>
      <c r="B176" s="24"/>
      <c r="C176" s="24"/>
      <c r="D176" s="25" t="str">
        <f>IF(AND(B176&lt;&gt;"",C176&lt;&gt;""),(C176-B176)*24,"")</f>
        <v/>
      </c>
      <c r="E176" s="26"/>
    </row>
    <row r="177" spans="1:5" ht="30" customHeight="1">
      <c r="A177" s="6"/>
      <c r="B177" s="7"/>
      <c r="C177" s="7"/>
      <c r="D177" s="8" t="str">
        <f>IF(AND(B177&lt;&gt;"",C177&lt;&gt;""),(C177-B177)*24,"")</f>
        <v/>
      </c>
      <c r="E177" s="9"/>
    </row>
    <row r="178" spans="1:5" ht="30" customHeight="1">
      <c r="A178" s="23"/>
      <c r="B178" s="24"/>
      <c r="C178" s="24"/>
      <c r="D178" s="25" t="str">
        <f>IF(AND(B178&lt;&gt;"",C178&lt;&gt;""),(C178-B178)*24,"")</f>
        <v/>
      </c>
      <c r="E178" s="26"/>
    </row>
    <row r="179" spans="1:5" ht="30" customHeight="1">
      <c r="A179" s="6"/>
      <c r="B179" s="7"/>
      <c r="C179" s="7"/>
      <c r="D179" s="8" t="str">
        <f>IF(AND(B179&lt;&gt;"",C179&lt;&gt;""),(C179-B179)*24,"")</f>
        <v/>
      </c>
      <c r="E179" s="9"/>
    </row>
    <row r="180" spans="1:5" ht="30" customHeight="1">
      <c r="A180" s="23"/>
      <c r="B180" s="24"/>
      <c r="C180" s="24"/>
      <c r="D180" s="25" t="str">
        <f>IF(AND(B180&lt;&gt;"",C180&lt;&gt;""),(C180-B180)*24,"")</f>
        <v/>
      </c>
      <c r="E180" s="26"/>
    </row>
    <row r="181" spans="1:5" ht="30" customHeight="1">
      <c r="A181" s="6"/>
      <c r="B181" s="7"/>
      <c r="C181" s="7"/>
      <c r="D181" s="8" t="str">
        <f>IF(AND(B181&lt;&gt;"",C181&lt;&gt;""),(C181-B181)*24,"")</f>
        <v/>
      </c>
      <c r="E181" s="9"/>
    </row>
    <row r="182" spans="1:5" ht="30" customHeight="1">
      <c r="A182" s="23"/>
      <c r="B182" s="24"/>
      <c r="C182" s="24"/>
      <c r="D182" s="25" t="str">
        <f>IF(AND(B182&lt;&gt;"",C182&lt;&gt;""),(C182-B182)*24,"")</f>
        <v/>
      </c>
      <c r="E182" s="26"/>
    </row>
    <row r="183" spans="1:5" ht="30" customHeight="1">
      <c r="A183" s="6"/>
      <c r="B183" s="7"/>
      <c r="C183" s="7"/>
      <c r="D183" s="8" t="str">
        <f>IF(AND(B183&lt;&gt;"",C183&lt;&gt;""),(C183-B183)*24,"")</f>
        <v/>
      </c>
      <c r="E183" s="9"/>
    </row>
    <row r="184" spans="1:5" ht="30" customHeight="1">
      <c r="A184" s="23"/>
      <c r="B184" s="24"/>
      <c r="C184" s="24"/>
      <c r="D184" s="25" t="str">
        <f>IF(AND(B184&lt;&gt;"",C184&lt;&gt;""),(C184-B184)*24,"")</f>
        <v/>
      </c>
      <c r="E184" s="26"/>
    </row>
    <row r="185" spans="1:5" ht="30" customHeight="1">
      <c r="A185" s="6"/>
      <c r="B185" s="7"/>
      <c r="C185" s="7"/>
      <c r="D185" s="8" t="str">
        <f>IF(AND(B185&lt;&gt;"",C185&lt;&gt;""),(C185-B185)*24,"")</f>
        <v/>
      </c>
      <c r="E185" s="9"/>
    </row>
    <row r="186" spans="1:5" ht="30" customHeight="1">
      <c r="A186" s="23"/>
      <c r="B186" s="24"/>
      <c r="C186" s="24"/>
      <c r="D186" s="25" t="str">
        <f>IF(AND(B186&lt;&gt;"",C186&lt;&gt;""),(C186-B186)*24,"")</f>
        <v/>
      </c>
      <c r="E186" s="26"/>
    </row>
    <row r="187" spans="1:5" ht="30" customHeight="1">
      <c r="A187" s="6"/>
      <c r="B187" s="7"/>
      <c r="C187" s="7"/>
      <c r="D187" s="8" t="str">
        <f>IF(AND(B187&lt;&gt;"",C187&lt;&gt;""),(C187-B187)*24,"")</f>
        <v/>
      </c>
      <c r="E187" s="9"/>
    </row>
    <row r="188" spans="1:5" ht="30" customHeight="1">
      <c r="A188" s="23"/>
      <c r="B188" s="24"/>
      <c r="C188" s="24"/>
      <c r="D188" s="25" t="str">
        <f>IF(AND(B188&lt;&gt;"",C188&lt;&gt;""),(C188-B188)*24,"")</f>
        <v/>
      </c>
      <c r="E188" s="26"/>
    </row>
    <row r="189" spans="1:5" ht="30" customHeight="1">
      <c r="A189" s="6"/>
      <c r="B189" s="7"/>
      <c r="C189" s="7"/>
      <c r="D189" s="8" t="str">
        <f>IF(AND(B189&lt;&gt;"",C189&lt;&gt;""),(C189-B189)*24,"")</f>
        <v/>
      </c>
      <c r="E189" s="9"/>
    </row>
    <row r="190" spans="1:5" ht="30" customHeight="1">
      <c r="A190" s="23"/>
      <c r="B190" s="24"/>
      <c r="C190" s="24"/>
      <c r="D190" s="25" t="str">
        <f>IF(AND(B190&lt;&gt;"",C190&lt;&gt;""),(C190-B190)*24,"")</f>
        <v/>
      </c>
      <c r="E190" s="26"/>
    </row>
    <row r="191" spans="1:5" ht="30" customHeight="1">
      <c r="A191" s="6"/>
      <c r="B191" s="7"/>
      <c r="C191" s="7"/>
      <c r="D191" s="8" t="str">
        <f>IF(AND(B191&lt;&gt;"",C191&lt;&gt;""),(C191-B191)*24,"")</f>
        <v/>
      </c>
      <c r="E191" s="9"/>
    </row>
    <row r="192" spans="1:5" ht="30" customHeight="1">
      <c r="A192" s="23"/>
      <c r="B192" s="24"/>
      <c r="C192" s="24"/>
      <c r="D192" s="25" t="str">
        <f>IF(AND(B192&lt;&gt;"",C192&lt;&gt;""),(C192-B192)*24,"")</f>
        <v/>
      </c>
      <c r="E192" s="26"/>
    </row>
    <row r="193" spans="1:5" ht="30" customHeight="1">
      <c r="A193" s="6"/>
      <c r="B193" s="7"/>
      <c r="C193" s="7"/>
      <c r="D193" s="8" t="str">
        <f>IF(AND(B193&lt;&gt;"",C193&lt;&gt;""),(C193-B193)*24,"")</f>
        <v/>
      </c>
      <c r="E193" s="9"/>
    </row>
    <row r="194" spans="1:5" ht="30" customHeight="1">
      <c r="A194" s="23"/>
      <c r="B194" s="24"/>
      <c r="C194" s="24"/>
      <c r="D194" s="25" t="str">
        <f>IF(AND(B194&lt;&gt;"",C194&lt;&gt;""),(C194-B194)*24,"")</f>
        <v/>
      </c>
      <c r="E194" s="26"/>
    </row>
    <row r="195" spans="1:5" ht="30" customHeight="1">
      <c r="A195" s="6"/>
      <c r="B195" s="7"/>
      <c r="C195" s="7"/>
      <c r="D195" s="8" t="str">
        <f>IF(AND(B195&lt;&gt;"",C195&lt;&gt;""),(C195-B195)*24,"")</f>
        <v/>
      </c>
      <c r="E195" s="9"/>
    </row>
    <row r="196" spans="1:5" ht="30" customHeight="1">
      <c r="A196" s="23"/>
      <c r="B196" s="24"/>
      <c r="C196" s="24"/>
      <c r="D196" s="25" t="str">
        <f>IF(AND(B196&lt;&gt;"",C196&lt;&gt;""),(C196-B196)*24,"")</f>
        <v/>
      </c>
      <c r="E196" s="26"/>
    </row>
    <row r="197" spans="1:5" ht="30" customHeight="1">
      <c r="A197" s="6"/>
      <c r="B197" s="7"/>
      <c r="C197" s="7"/>
      <c r="D197" s="8" t="str">
        <f>IF(AND(B197&lt;&gt;"",C197&lt;&gt;""),(C197-B197)*24,"")</f>
        <v/>
      </c>
      <c r="E197" s="9"/>
    </row>
    <row r="198" spans="1:5" ht="30" customHeight="1">
      <c r="A198" s="23"/>
      <c r="B198" s="24"/>
      <c r="C198" s="24"/>
      <c r="D198" s="25" t="str">
        <f>IF(AND(B198&lt;&gt;"",C198&lt;&gt;""),(C198-B198)*24,"")</f>
        <v/>
      </c>
      <c r="E198" s="26"/>
    </row>
    <row r="199" spans="1:5" ht="30" customHeight="1">
      <c r="A199" s="6"/>
      <c r="B199" s="7"/>
      <c r="C199" s="7"/>
      <c r="D199" s="8" t="str">
        <f>IF(AND(B199&lt;&gt;"",C199&lt;&gt;""),(C199-B199)*24,"")</f>
        <v/>
      </c>
      <c r="E199" s="9"/>
    </row>
    <row r="200" spans="1:5" ht="30" customHeight="1">
      <c r="A200" s="23"/>
      <c r="B200" s="24"/>
      <c r="C200" s="24"/>
      <c r="D200" s="25" t="str">
        <f>IF(AND(B200&lt;&gt;"",C200&lt;&gt;""),(C200-B200)*24,"")</f>
        <v/>
      </c>
      <c r="E200" s="26"/>
    </row>
    <row r="201" spans="1:5">
      <c r="A201"/>
      <c r="B201"/>
      <c r="C201"/>
      <c r="D201"/>
      <c r="E201"/>
    </row>
    <row r="202" spans="1:5">
      <c r="A202"/>
      <c r="B202"/>
      <c r="C202"/>
      <c r="D202"/>
      <c r="E202"/>
    </row>
    <row r="203" spans="1:5">
      <c r="A203"/>
      <c r="B203"/>
      <c r="C203"/>
      <c r="D203"/>
      <c r="E203"/>
    </row>
    <row r="204" spans="1:5">
      <c r="A204"/>
      <c r="B204"/>
      <c r="C204"/>
      <c r="D204"/>
      <c r="E204"/>
    </row>
    <row r="205" spans="1:5">
      <c r="A205"/>
      <c r="B205"/>
      <c r="C205"/>
      <c r="D205"/>
      <c r="E205"/>
    </row>
    <row r="206" spans="1:5">
      <c r="A206"/>
      <c r="B206"/>
      <c r="C206"/>
      <c r="D206"/>
      <c r="E206"/>
    </row>
    <row r="207" spans="1:5">
      <c r="A207"/>
      <c r="B207"/>
      <c r="C207"/>
      <c r="D207"/>
      <c r="E207"/>
    </row>
    <row r="208" spans="1:5">
      <c r="A208"/>
      <c r="B208"/>
      <c r="C208"/>
      <c r="D208"/>
      <c r="E208"/>
    </row>
    <row r="209" spans="1:5">
      <c r="A209"/>
      <c r="B209"/>
      <c r="C209"/>
      <c r="D209"/>
      <c r="E209"/>
    </row>
    <row r="210" spans="1:5">
      <c r="A210"/>
      <c r="B210"/>
      <c r="C210"/>
      <c r="D210"/>
      <c r="E210"/>
    </row>
    <row r="211" spans="1:5">
      <c r="A211"/>
      <c r="B211"/>
      <c r="C211"/>
      <c r="D211"/>
      <c r="E211"/>
    </row>
    <row r="212" spans="1:5">
      <c r="A212"/>
      <c r="B212"/>
      <c r="C212"/>
      <c r="D212"/>
      <c r="E212"/>
    </row>
    <row r="213" spans="1:5">
      <c r="A213"/>
      <c r="B213"/>
      <c r="C213"/>
      <c r="D213"/>
      <c r="E213"/>
    </row>
    <row r="214" spans="1:5">
      <c r="A214"/>
      <c r="B214"/>
      <c r="C214"/>
      <c r="D214"/>
      <c r="E214"/>
    </row>
    <row r="215" spans="1:5">
      <c r="A215"/>
      <c r="B215"/>
      <c r="C215"/>
      <c r="D215"/>
      <c r="E215"/>
    </row>
    <row r="216" spans="1:5">
      <c r="A216"/>
      <c r="B216"/>
      <c r="C216"/>
      <c r="D216"/>
      <c r="E216"/>
    </row>
    <row r="217" spans="1:5">
      <c r="A217"/>
      <c r="B217"/>
      <c r="C217"/>
      <c r="D217"/>
      <c r="E217"/>
    </row>
    <row r="218" spans="1:5">
      <c r="A218"/>
      <c r="B218"/>
      <c r="C218"/>
      <c r="D218"/>
      <c r="E218"/>
    </row>
    <row r="219" spans="1:5">
      <c r="A219"/>
      <c r="B219"/>
      <c r="C219"/>
      <c r="D219"/>
      <c r="E219"/>
    </row>
    <row r="220" spans="1:5">
      <c r="A220"/>
      <c r="B220"/>
      <c r="C220"/>
      <c r="D220"/>
      <c r="E220"/>
    </row>
    <row r="221" spans="1:5">
      <c r="A221"/>
      <c r="B221"/>
      <c r="C221"/>
      <c r="D221"/>
      <c r="E221"/>
    </row>
    <row r="222" spans="1:5">
      <c r="A222"/>
      <c r="B222"/>
      <c r="C222"/>
      <c r="D222"/>
      <c r="E222"/>
    </row>
    <row r="223" spans="1:5">
      <c r="A223"/>
      <c r="B223"/>
      <c r="C223"/>
      <c r="D223"/>
      <c r="E223"/>
    </row>
    <row r="224" spans="1:5">
      <c r="A224"/>
      <c r="B224"/>
      <c r="C224"/>
      <c r="D224"/>
      <c r="E224"/>
    </row>
    <row r="225" spans="1:5">
      <c r="A225"/>
      <c r="B225"/>
      <c r="C225"/>
      <c r="D225"/>
      <c r="E225"/>
    </row>
    <row r="226" spans="1:5">
      <c r="A226"/>
      <c r="B226"/>
      <c r="C226"/>
      <c r="D226"/>
      <c r="E226"/>
    </row>
    <row r="227" spans="1:5">
      <c r="A227"/>
      <c r="B227"/>
      <c r="C227"/>
      <c r="D227"/>
      <c r="E227"/>
    </row>
    <row r="228" spans="1:5">
      <c r="A228"/>
      <c r="B228"/>
      <c r="C228"/>
      <c r="D228"/>
      <c r="E228"/>
    </row>
    <row r="229" spans="1:5">
      <c r="A229"/>
      <c r="B229"/>
      <c r="C229"/>
      <c r="D229"/>
      <c r="E229"/>
    </row>
    <row r="230" spans="1:5">
      <c r="A230"/>
      <c r="B230"/>
      <c r="C230"/>
      <c r="D230"/>
      <c r="E230"/>
    </row>
    <row r="231" spans="1:5">
      <c r="A231"/>
      <c r="B231"/>
      <c r="C231"/>
      <c r="D231"/>
      <c r="E231"/>
    </row>
    <row r="232" spans="1:5">
      <c r="A232"/>
      <c r="B232"/>
      <c r="C232"/>
      <c r="D232"/>
      <c r="E232"/>
    </row>
    <row r="233" spans="1:5">
      <c r="A233"/>
      <c r="B233"/>
      <c r="C233"/>
      <c r="D233"/>
      <c r="E233"/>
    </row>
    <row r="234" spans="1:5">
      <c r="A234"/>
      <c r="B234"/>
      <c r="C234"/>
      <c r="D234"/>
      <c r="E234"/>
    </row>
    <row r="235" spans="1:5">
      <c r="A235"/>
      <c r="B235"/>
      <c r="C235"/>
      <c r="D235"/>
      <c r="E235"/>
    </row>
    <row r="236" spans="1:5">
      <c r="A236"/>
      <c r="B236"/>
      <c r="C236"/>
      <c r="D236"/>
      <c r="E236"/>
    </row>
    <row r="237" spans="1:5">
      <c r="A237"/>
      <c r="B237"/>
      <c r="C237"/>
      <c r="D237"/>
      <c r="E237"/>
    </row>
    <row r="238" spans="1:5">
      <c r="A238"/>
      <c r="B238"/>
      <c r="C238"/>
      <c r="D238"/>
      <c r="E238"/>
    </row>
    <row r="239" spans="1:5">
      <c r="A239"/>
      <c r="B239"/>
      <c r="C239"/>
      <c r="D239"/>
      <c r="E239"/>
    </row>
    <row r="240" spans="1:5">
      <c r="A240"/>
      <c r="B240"/>
      <c r="C240"/>
      <c r="D240"/>
      <c r="E240"/>
    </row>
    <row r="241" spans="1:5">
      <c r="A241"/>
      <c r="B241"/>
      <c r="C241"/>
      <c r="D241"/>
      <c r="E241"/>
    </row>
    <row r="242" spans="1:5">
      <c r="A242"/>
      <c r="B242"/>
      <c r="C242"/>
      <c r="D242"/>
      <c r="E242"/>
    </row>
    <row r="243" spans="1:5">
      <c r="A243"/>
      <c r="B243"/>
      <c r="C243"/>
      <c r="D243"/>
      <c r="E243"/>
    </row>
    <row r="244" spans="1:5">
      <c r="A244"/>
      <c r="B244"/>
      <c r="C244"/>
      <c r="D244"/>
      <c r="E244"/>
    </row>
    <row r="245" spans="1:5">
      <c r="A245"/>
      <c r="B245"/>
      <c r="C245"/>
      <c r="D245"/>
      <c r="E245"/>
    </row>
    <row r="246" spans="1:5">
      <c r="A246"/>
      <c r="B246"/>
      <c r="C246"/>
      <c r="D246"/>
      <c r="E246"/>
    </row>
    <row r="247" spans="1:5">
      <c r="A247"/>
      <c r="B247"/>
      <c r="C247"/>
      <c r="D247"/>
      <c r="E247"/>
    </row>
    <row r="248" spans="1:5">
      <c r="A248"/>
      <c r="B248"/>
      <c r="C248"/>
      <c r="D248"/>
      <c r="E248"/>
    </row>
    <row r="249" spans="1:5">
      <c r="A249"/>
      <c r="B249"/>
      <c r="C249"/>
      <c r="D249"/>
      <c r="E249"/>
    </row>
    <row r="250" spans="1:5">
      <c r="A250"/>
      <c r="B250"/>
      <c r="C250"/>
      <c r="D250"/>
      <c r="E250"/>
    </row>
    <row r="251" spans="1:5">
      <c r="A251"/>
      <c r="B251"/>
      <c r="C251"/>
      <c r="D251"/>
      <c r="E251"/>
    </row>
    <row r="252" spans="1:5">
      <c r="A252"/>
      <c r="B252"/>
      <c r="C252"/>
      <c r="D252"/>
      <c r="E252"/>
    </row>
    <row r="253" spans="1:5">
      <c r="A253"/>
      <c r="B253"/>
      <c r="C253"/>
      <c r="D253"/>
      <c r="E253"/>
    </row>
    <row r="254" spans="1:5">
      <c r="A254"/>
      <c r="B254"/>
      <c r="C254"/>
      <c r="D254"/>
      <c r="E254"/>
    </row>
    <row r="255" spans="1:5">
      <c r="A255"/>
      <c r="B255"/>
      <c r="C255"/>
      <c r="D255"/>
      <c r="E255"/>
    </row>
    <row r="256" spans="1:5">
      <c r="A256"/>
      <c r="B256"/>
      <c r="C256"/>
      <c r="D256"/>
      <c r="E256"/>
    </row>
    <row r="257" spans="1:5">
      <c r="A257"/>
      <c r="B257"/>
      <c r="C257"/>
      <c r="D257"/>
      <c r="E257"/>
    </row>
    <row r="258" spans="1:5">
      <c r="A258"/>
      <c r="B258"/>
      <c r="C258"/>
      <c r="D258"/>
      <c r="E258"/>
    </row>
    <row r="259" spans="1:5">
      <c r="A259"/>
      <c r="B259"/>
      <c r="C259"/>
      <c r="D259"/>
      <c r="E259"/>
    </row>
    <row r="260" spans="1:5">
      <c r="A260"/>
      <c r="B260"/>
      <c r="C260"/>
      <c r="D260"/>
      <c r="E260"/>
    </row>
    <row r="261" spans="1:5">
      <c r="A261"/>
      <c r="B261"/>
      <c r="C261"/>
      <c r="D261"/>
      <c r="E261"/>
    </row>
    <row r="262" spans="1:5">
      <c r="A262"/>
      <c r="B262"/>
      <c r="C262"/>
      <c r="D262"/>
      <c r="E262"/>
    </row>
    <row r="263" spans="1:5">
      <c r="A263"/>
      <c r="B263"/>
      <c r="C263"/>
      <c r="D263"/>
      <c r="E263"/>
    </row>
    <row r="264" spans="1:5">
      <c r="A264"/>
      <c r="B264"/>
      <c r="C264"/>
      <c r="D264"/>
      <c r="E264"/>
    </row>
    <row r="265" spans="1:5">
      <c r="A265"/>
      <c r="B265"/>
      <c r="C265"/>
      <c r="D265"/>
      <c r="E265"/>
    </row>
    <row r="266" spans="1:5">
      <c r="A266"/>
      <c r="B266"/>
      <c r="C266"/>
      <c r="D266"/>
      <c r="E266"/>
    </row>
    <row r="267" spans="1:5">
      <c r="A267"/>
      <c r="B267"/>
      <c r="C267"/>
      <c r="D267"/>
      <c r="E267"/>
    </row>
    <row r="268" spans="1:5">
      <c r="A268"/>
      <c r="B268"/>
      <c r="C268"/>
      <c r="D268"/>
      <c r="E268"/>
    </row>
    <row r="269" spans="1:5">
      <c r="A269"/>
      <c r="B269"/>
      <c r="C269"/>
      <c r="D269"/>
      <c r="E269"/>
    </row>
    <row r="270" spans="1:5">
      <c r="A270"/>
      <c r="B270"/>
      <c r="C270"/>
      <c r="D270"/>
      <c r="E270"/>
    </row>
    <row r="271" spans="1:5">
      <c r="A271"/>
      <c r="B271"/>
      <c r="C271"/>
      <c r="D271"/>
      <c r="E271"/>
    </row>
    <row r="272" spans="1:5">
      <c r="A272"/>
      <c r="B272"/>
      <c r="C272"/>
      <c r="D272"/>
      <c r="E272"/>
    </row>
    <row r="273" spans="1:5">
      <c r="A273"/>
      <c r="B273"/>
      <c r="C273"/>
      <c r="D273"/>
      <c r="E273"/>
    </row>
    <row r="274" spans="1:5">
      <c r="A274"/>
      <c r="B274"/>
      <c r="C274"/>
      <c r="D274"/>
      <c r="E274"/>
    </row>
    <row r="275" spans="1:5">
      <c r="A275"/>
      <c r="B275"/>
      <c r="C275"/>
      <c r="D275"/>
      <c r="E275"/>
    </row>
    <row r="276" spans="1:5">
      <c r="A276"/>
      <c r="B276"/>
      <c r="C276"/>
      <c r="D276"/>
      <c r="E276"/>
    </row>
    <row r="277" spans="1:5">
      <c r="A277"/>
      <c r="B277"/>
      <c r="C277"/>
      <c r="D277"/>
      <c r="E277"/>
    </row>
    <row r="278" spans="1:5">
      <c r="A278"/>
      <c r="B278"/>
      <c r="C278"/>
      <c r="D278"/>
      <c r="E278"/>
    </row>
    <row r="279" spans="1:5">
      <c r="A279"/>
      <c r="B279"/>
      <c r="C279"/>
      <c r="D279"/>
      <c r="E279"/>
    </row>
    <row r="280" spans="1:5">
      <c r="A280"/>
      <c r="B280"/>
      <c r="C280"/>
      <c r="D280"/>
      <c r="E280"/>
    </row>
    <row r="281" spans="1:5">
      <c r="A281"/>
      <c r="B281"/>
      <c r="C281"/>
      <c r="D281"/>
      <c r="E281"/>
    </row>
    <row r="282" spans="1:5">
      <c r="A282"/>
      <c r="B282"/>
      <c r="C282"/>
      <c r="D282"/>
      <c r="E282"/>
    </row>
    <row r="283" spans="1:5">
      <c r="A283"/>
      <c r="B283"/>
      <c r="C283"/>
      <c r="D283"/>
      <c r="E283"/>
    </row>
    <row r="284" spans="1:5">
      <c r="A284"/>
      <c r="B284"/>
      <c r="C284"/>
      <c r="D284"/>
      <c r="E284"/>
    </row>
    <row r="285" spans="1:5">
      <c r="A285"/>
      <c r="B285"/>
      <c r="C285"/>
      <c r="D285"/>
      <c r="E285"/>
    </row>
    <row r="286" spans="1:5">
      <c r="A286"/>
      <c r="B286"/>
      <c r="C286"/>
      <c r="D286"/>
      <c r="E286"/>
    </row>
    <row r="287" spans="1:5">
      <c r="A287"/>
      <c r="B287"/>
      <c r="C287"/>
      <c r="D287"/>
      <c r="E287"/>
    </row>
    <row r="288" spans="1:5">
      <c r="A288"/>
      <c r="B288"/>
      <c r="C288"/>
      <c r="D288"/>
      <c r="E288"/>
    </row>
    <row r="289" spans="1:5">
      <c r="A289"/>
      <c r="B289"/>
      <c r="C289"/>
      <c r="D289"/>
      <c r="E289"/>
    </row>
    <row r="290" spans="1:5">
      <c r="A290"/>
      <c r="B290"/>
      <c r="C290"/>
      <c r="D290"/>
      <c r="E290"/>
    </row>
    <row r="291" spans="1:5">
      <c r="A291"/>
      <c r="B291"/>
      <c r="C291"/>
      <c r="D291"/>
      <c r="E291"/>
    </row>
    <row r="292" spans="1:5">
      <c r="A292"/>
      <c r="B292"/>
      <c r="C292"/>
      <c r="D292"/>
      <c r="E292"/>
    </row>
    <row r="293" spans="1:5">
      <c r="A293"/>
      <c r="B293"/>
      <c r="C293"/>
      <c r="D293"/>
      <c r="E293"/>
    </row>
    <row r="294" spans="1:5">
      <c r="A294"/>
      <c r="B294"/>
      <c r="C294"/>
      <c r="D294"/>
      <c r="E294"/>
    </row>
    <row r="295" spans="1:5">
      <c r="A295"/>
      <c r="B295"/>
      <c r="C295"/>
      <c r="D295"/>
      <c r="E295"/>
    </row>
    <row r="296" spans="1:5">
      <c r="A296"/>
      <c r="B296"/>
      <c r="C296"/>
      <c r="D296"/>
      <c r="E296"/>
    </row>
    <row r="297" spans="1:5">
      <c r="A297"/>
      <c r="B297"/>
      <c r="C297"/>
      <c r="D297"/>
      <c r="E297"/>
    </row>
    <row r="298" spans="1:5">
      <c r="A298"/>
      <c r="B298"/>
      <c r="C298"/>
      <c r="D298"/>
      <c r="E298"/>
    </row>
    <row r="299" spans="1:5">
      <c r="A299"/>
      <c r="B299"/>
      <c r="C299"/>
      <c r="D299"/>
      <c r="E299"/>
    </row>
    <row r="300" spans="1:5">
      <c r="A300"/>
      <c r="B300"/>
      <c r="C300"/>
      <c r="D300"/>
      <c r="E300"/>
    </row>
    <row r="301" spans="1:5">
      <c r="A301"/>
      <c r="B301"/>
      <c r="C301"/>
      <c r="D301"/>
      <c r="E301"/>
    </row>
    <row r="302" spans="1:5">
      <c r="A302"/>
      <c r="B302"/>
      <c r="C302"/>
      <c r="D302"/>
      <c r="E302"/>
    </row>
    <row r="303" spans="1:5">
      <c r="A303"/>
      <c r="B303"/>
      <c r="C303"/>
      <c r="D303"/>
      <c r="E303"/>
    </row>
    <row r="304" spans="1:5">
      <c r="A304"/>
      <c r="B304"/>
      <c r="C304"/>
      <c r="D304"/>
      <c r="E304"/>
    </row>
    <row r="305" spans="1:5">
      <c r="A305"/>
      <c r="B305"/>
      <c r="C305"/>
      <c r="D305"/>
      <c r="E305"/>
    </row>
    <row r="306" spans="1:5">
      <c r="A306"/>
      <c r="B306"/>
      <c r="C306"/>
      <c r="D306"/>
      <c r="E306"/>
    </row>
    <row r="307" spans="1:5">
      <c r="A307"/>
      <c r="B307"/>
      <c r="C307"/>
      <c r="D307"/>
      <c r="E307"/>
    </row>
    <row r="308" spans="1:5">
      <c r="A308"/>
      <c r="B308"/>
      <c r="C308"/>
      <c r="D308"/>
      <c r="E308"/>
    </row>
    <row r="309" spans="1:5">
      <c r="A309"/>
      <c r="B309"/>
      <c r="C309"/>
      <c r="D309"/>
      <c r="E309"/>
    </row>
    <row r="310" spans="1:5">
      <c r="A310"/>
      <c r="B310"/>
      <c r="C310"/>
      <c r="D310"/>
      <c r="E310"/>
    </row>
    <row r="311" spans="1:5">
      <c r="A311"/>
      <c r="B311"/>
      <c r="C311"/>
      <c r="D311"/>
      <c r="E311"/>
    </row>
    <row r="312" spans="1:5">
      <c r="A312"/>
      <c r="B312"/>
      <c r="C312"/>
      <c r="D312"/>
      <c r="E312"/>
    </row>
    <row r="313" spans="1:5">
      <c r="A313"/>
      <c r="B313"/>
      <c r="C313"/>
      <c r="D313"/>
      <c r="E313"/>
    </row>
    <row r="314" spans="1:5">
      <c r="A314"/>
      <c r="B314"/>
      <c r="C314"/>
      <c r="D314"/>
      <c r="E314"/>
    </row>
    <row r="315" spans="1:5">
      <c r="A315"/>
      <c r="B315"/>
      <c r="C315"/>
      <c r="D315"/>
      <c r="E315"/>
    </row>
    <row r="316" spans="1:5">
      <c r="A316"/>
      <c r="B316"/>
      <c r="C316"/>
      <c r="D316"/>
      <c r="E316"/>
    </row>
    <row r="317" spans="1:5">
      <c r="A317"/>
      <c r="B317"/>
      <c r="C317"/>
      <c r="D317"/>
      <c r="E317"/>
    </row>
    <row r="318" spans="1:5">
      <c r="A318"/>
      <c r="B318"/>
      <c r="C318"/>
      <c r="D318"/>
      <c r="E318"/>
    </row>
    <row r="319" spans="1:5">
      <c r="A319"/>
      <c r="B319"/>
      <c r="C319"/>
      <c r="D319"/>
      <c r="E319"/>
    </row>
    <row r="320" spans="1:5">
      <c r="A320"/>
      <c r="B320"/>
      <c r="C320"/>
      <c r="D320"/>
      <c r="E320"/>
    </row>
    <row r="321" spans="1:5">
      <c r="A321"/>
      <c r="B321"/>
      <c r="C321"/>
      <c r="D321"/>
      <c r="E321"/>
    </row>
    <row r="322" spans="1:5">
      <c r="A322"/>
      <c r="B322"/>
      <c r="C322"/>
      <c r="D322"/>
      <c r="E322"/>
    </row>
    <row r="323" spans="1:5">
      <c r="A323"/>
      <c r="B323"/>
      <c r="C323"/>
      <c r="D323"/>
      <c r="E323"/>
    </row>
    <row r="324" spans="1:5">
      <c r="A324"/>
      <c r="B324"/>
      <c r="C324"/>
      <c r="D324"/>
      <c r="E324"/>
    </row>
    <row r="325" spans="1:5">
      <c r="A325"/>
      <c r="B325"/>
      <c r="C325"/>
      <c r="D325"/>
      <c r="E325"/>
    </row>
    <row r="326" spans="1:5">
      <c r="A326"/>
      <c r="B326"/>
      <c r="C326"/>
      <c r="D326"/>
      <c r="E326"/>
    </row>
    <row r="327" spans="1:5">
      <c r="A327"/>
      <c r="B327"/>
      <c r="C327"/>
      <c r="D327"/>
      <c r="E327"/>
    </row>
    <row r="328" spans="1:5">
      <c r="A328"/>
      <c r="B328"/>
      <c r="C328"/>
      <c r="D328"/>
      <c r="E328"/>
    </row>
    <row r="329" spans="1:5">
      <c r="A329"/>
      <c r="B329"/>
      <c r="C329"/>
      <c r="D329"/>
      <c r="E329"/>
    </row>
    <row r="330" spans="1:5">
      <c r="A330"/>
      <c r="B330"/>
      <c r="C330"/>
      <c r="D330"/>
      <c r="E330"/>
    </row>
    <row r="331" spans="1:5">
      <c r="A331"/>
      <c r="B331"/>
      <c r="C331"/>
      <c r="D331"/>
      <c r="E331"/>
    </row>
    <row r="332" spans="1:5">
      <c r="A332"/>
      <c r="B332"/>
      <c r="C332"/>
      <c r="D332"/>
      <c r="E332"/>
    </row>
    <row r="333" spans="1:5">
      <c r="A333"/>
      <c r="B333"/>
      <c r="C333"/>
      <c r="D333"/>
      <c r="E333"/>
    </row>
    <row r="334" spans="1:5">
      <c r="A334"/>
      <c r="B334"/>
      <c r="C334"/>
      <c r="D334"/>
      <c r="E334"/>
    </row>
    <row r="335" spans="1:5">
      <c r="A335"/>
      <c r="B335"/>
      <c r="C335"/>
      <c r="D335"/>
      <c r="E335"/>
    </row>
    <row r="336" spans="1:5">
      <c r="A336"/>
      <c r="B336"/>
      <c r="C336"/>
      <c r="D336"/>
      <c r="E336"/>
    </row>
    <row r="337" spans="1:5">
      <c r="A337"/>
      <c r="B337"/>
      <c r="C337"/>
      <c r="D337"/>
      <c r="E337"/>
    </row>
    <row r="338" spans="1:5">
      <c r="A338"/>
      <c r="B338"/>
      <c r="C338"/>
      <c r="D338"/>
      <c r="E338"/>
    </row>
    <row r="339" spans="1:5">
      <c r="A339"/>
      <c r="B339"/>
      <c r="C339"/>
      <c r="D339"/>
      <c r="E339"/>
    </row>
    <row r="340" spans="1:5">
      <c r="A340"/>
      <c r="B340"/>
      <c r="C340"/>
      <c r="D340"/>
      <c r="E340"/>
    </row>
    <row r="341" spans="1:5">
      <c r="A341"/>
      <c r="B341"/>
      <c r="C341"/>
      <c r="D341"/>
      <c r="E341"/>
    </row>
    <row r="342" spans="1:5">
      <c r="A342"/>
      <c r="B342"/>
      <c r="C342"/>
      <c r="D342"/>
      <c r="E342"/>
    </row>
    <row r="343" spans="1:5">
      <c r="A343"/>
      <c r="B343"/>
      <c r="C343"/>
      <c r="D343"/>
      <c r="E343"/>
    </row>
    <row r="344" spans="1:5">
      <c r="A344"/>
      <c r="B344"/>
      <c r="C344"/>
      <c r="D344"/>
      <c r="E344"/>
    </row>
    <row r="345" spans="1:5">
      <c r="A345"/>
      <c r="B345"/>
      <c r="C345"/>
      <c r="D345"/>
      <c r="E345"/>
    </row>
    <row r="346" spans="1:5">
      <c r="A346"/>
      <c r="B346"/>
      <c r="C346"/>
      <c r="D346"/>
      <c r="E346"/>
    </row>
    <row r="347" spans="1:5">
      <c r="A347"/>
      <c r="B347"/>
      <c r="C347"/>
      <c r="D347"/>
      <c r="E347"/>
    </row>
    <row r="348" spans="1:5">
      <c r="A348"/>
      <c r="B348"/>
      <c r="C348"/>
      <c r="D348"/>
      <c r="E348"/>
    </row>
    <row r="349" spans="1:5">
      <c r="A349"/>
      <c r="B349"/>
      <c r="C349"/>
      <c r="D349"/>
      <c r="E349"/>
    </row>
    <row r="350" spans="1:5">
      <c r="A350"/>
      <c r="B350"/>
      <c r="C350"/>
      <c r="D350"/>
      <c r="E350"/>
    </row>
    <row r="351" spans="1:5">
      <c r="A351"/>
      <c r="B351"/>
      <c r="C351"/>
      <c r="D351"/>
      <c r="E351"/>
    </row>
    <row r="352" spans="1:5">
      <c r="A352"/>
      <c r="B352"/>
      <c r="C352"/>
      <c r="D352"/>
      <c r="E352"/>
    </row>
    <row r="353" spans="1:5">
      <c r="A353"/>
      <c r="B353"/>
      <c r="C353"/>
      <c r="D353"/>
      <c r="E353"/>
    </row>
    <row r="354" spans="1:5">
      <c r="A354"/>
      <c r="B354"/>
      <c r="C354"/>
      <c r="D354"/>
      <c r="E354"/>
    </row>
    <row r="355" spans="1:5">
      <c r="A355"/>
      <c r="B355"/>
      <c r="C355"/>
      <c r="D355"/>
      <c r="E355"/>
    </row>
    <row r="356" spans="1:5">
      <c r="A356"/>
      <c r="B356"/>
      <c r="C356"/>
      <c r="D356"/>
      <c r="E356"/>
    </row>
    <row r="357" spans="1:5">
      <c r="A357"/>
      <c r="B357"/>
      <c r="C357"/>
      <c r="D357"/>
      <c r="E357"/>
    </row>
    <row r="358" spans="1:5">
      <c r="A358"/>
      <c r="B358"/>
      <c r="C358"/>
      <c r="D358"/>
      <c r="E358"/>
    </row>
    <row r="359" spans="1:5">
      <c r="A359"/>
      <c r="B359"/>
      <c r="C359"/>
      <c r="D359"/>
      <c r="E359"/>
    </row>
    <row r="360" spans="1:5">
      <c r="A360"/>
      <c r="B360"/>
      <c r="C360"/>
      <c r="D360"/>
      <c r="E360"/>
    </row>
    <row r="361" spans="1:5">
      <c r="A361"/>
      <c r="B361"/>
      <c r="C361"/>
      <c r="D361"/>
      <c r="E361"/>
    </row>
    <row r="362" spans="1:5">
      <c r="A362"/>
      <c r="B362"/>
      <c r="C362"/>
      <c r="D362"/>
      <c r="E362"/>
    </row>
    <row r="363" spans="1:5">
      <c r="A363"/>
      <c r="B363"/>
      <c r="C363"/>
      <c r="D363"/>
      <c r="E363"/>
    </row>
    <row r="364" spans="1:5">
      <c r="A364"/>
      <c r="B364"/>
      <c r="C364"/>
      <c r="D364"/>
      <c r="E364"/>
    </row>
    <row r="365" spans="1:5">
      <c r="A365"/>
      <c r="B365"/>
      <c r="C365"/>
      <c r="D365"/>
      <c r="E365"/>
    </row>
    <row r="366" spans="1:5">
      <c r="A366"/>
      <c r="B366"/>
      <c r="C366"/>
      <c r="D366"/>
      <c r="E366"/>
    </row>
    <row r="367" spans="1:5">
      <c r="A367"/>
      <c r="B367"/>
      <c r="C367"/>
      <c r="D367"/>
      <c r="E367"/>
    </row>
    <row r="368" spans="1:5">
      <c r="A368"/>
      <c r="B368"/>
      <c r="C368"/>
      <c r="D368"/>
      <c r="E368"/>
    </row>
    <row r="369" spans="1:5">
      <c r="A369"/>
      <c r="B369"/>
      <c r="C369"/>
      <c r="D369"/>
      <c r="E369"/>
    </row>
    <row r="370" spans="1:5">
      <c r="A370"/>
      <c r="B370"/>
      <c r="C370"/>
      <c r="D370"/>
      <c r="E370"/>
    </row>
    <row r="371" spans="1:5">
      <c r="A371"/>
      <c r="B371"/>
      <c r="C371"/>
      <c r="D371"/>
      <c r="E371"/>
    </row>
    <row r="372" spans="1:5">
      <c r="A372"/>
      <c r="B372"/>
      <c r="C372"/>
      <c r="D372"/>
      <c r="E372"/>
    </row>
    <row r="373" spans="1:5">
      <c r="A373"/>
      <c r="B373"/>
      <c r="C373"/>
      <c r="D373"/>
      <c r="E373"/>
    </row>
    <row r="374" spans="1:5">
      <c r="A374"/>
      <c r="B374"/>
      <c r="C374"/>
      <c r="D374"/>
      <c r="E374"/>
    </row>
    <row r="375" spans="1:5">
      <c r="A375"/>
      <c r="B375"/>
      <c r="C375"/>
      <c r="D375"/>
      <c r="E375"/>
    </row>
    <row r="376" spans="1:5">
      <c r="A376"/>
      <c r="B376"/>
      <c r="C376"/>
      <c r="D376"/>
      <c r="E376"/>
    </row>
    <row r="377" spans="1:5">
      <c r="A377"/>
      <c r="B377"/>
      <c r="C377"/>
      <c r="D377"/>
      <c r="E377"/>
    </row>
    <row r="378" spans="1:5">
      <c r="A378"/>
      <c r="B378"/>
      <c r="C378"/>
      <c r="D378"/>
      <c r="E378"/>
    </row>
    <row r="379" spans="1:5">
      <c r="A379"/>
      <c r="B379"/>
      <c r="C379"/>
      <c r="D379"/>
      <c r="E379"/>
    </row>
    <row r="380" spans="1:5">
      <c r="A380"/>
      <c r="B380"/>
      <c r="C380"/>
      <c r="D380"/>
      <c r="E380"/>
    </row>
    <row r="381" spans="1:5">
      <c r="A381"/>
      <c r="B381"/>
      <c r="C381"/>
      <c r="D381"/>
      <c r="E381"/>
    </row>
    <row r="382" spans="1:5">
      <c r="A382"/>
      <c r="B382"/>
      <c r="C382"/>
      <c r="D382"/>
      <c r="E382"/>
    </row>
    <row r="383" spans="1:5">
      <c r="A383"/>
      <c r="B383"/>
      <c r="C383"/>
      <c r="D383"/>
      <c r="E383"/>
    </row>
    <row r="384" spans="1:5">
      <c r="A384"/>
      <c r="B384"/>
      <c r="C384"/>
      <c r="D384"/>
      <c r="E384"/>
    </row>
    <row r="385" spans="1:5">
      <c r="A385"/>
      <c r="B385"/>
      <c r="C385"/>
      <c r="D385"/>
      <c r="E385"/>
    </row>
    <row r="386" spans="1:5">
      <c r="A386"/>
      <c r="B386"/>
      <c r="C386"/>
      <c r="D386"/>
      <c r="E386"/>
    </row>
    <row r="387" spans="1:5">
      <c r="A387"/>
      <c r="B387"/>
      <c r="C387"/>
      <c r="D387"/>
      <c r="E387"/>
    </row>
    <row r="388" spans="1:5">
      <c r="A388"/>
      <c r="B388"/>
      <c r="C388"/>
      <c r="D388"/>
      <c r="E388"/>
    </row>
    <row r="389" spans="1:5">
      <c r="A389"/>
      <c r="B389"/>
      <c r="C389"/>
      <c r="D389"/>
      <c r="E389"/>
    </row>
    <row r="390" spans="1:5">
      <c r="A390"/>
      <c r="B390"/>
      <c r="C390"/>
      <c r="D390"/>
      <c r="E390"/>
    </row>
    <row r="391" spans="1:5">
      <c r="A391"/>
      <c r="B391"/>
      <c r="C391"/>
      <c r="D391"/>
      <c r="E391"/>
    </row>
    <row r="392" spans="1:5">
      <c r="A392"/>
      <c r="B392"/>
      <c r="C392"/>
      <c r="D392"/>
      <c r="E392"/>
    </row>
    <row r="393" spans="1:5">
      <c r="A393"/>
      <c r="B393"/>
      <c r="C393"/>
      <c r="D393"/>
      <c r="E393"/>
    </row>
    <row r="394" spans="1:5">
      <c r="A394"/>
      <c r="B394"/>
      <c r="C394"/>
      <c r="D394"/>
      <c r="E394"/>
    </row>
    <row r="395" spans="1:5">
      <c r="A395"/>
      <c r="B395"/>
      <c r="C395"/>
      <c r="D395"/>
      <c r="E395"/>
    </row>
    <row r="396" spans="1:5">
      <c r="A396"/>
      <c r="B396"/>
      <c r="C396"/>
      <c r="D396"/>
      <c r="E396"/>
    </row>
    <row r="397" spans="1:5">
      <c r="A397"/>
      <c r="B397"/>
      <c r="C397"/>
      <c r="D397"/>
      <c r="E397"/>
    </row>
    <row r="398" spans="1:5">
      <c r="A398"/>
      <c r="B398"/>
      <c r="C398"/>
      <c r="D398"/>
      <c r="E398"/>
    </row>
    <row r="399" spans="1:5">
      <c r="A399"/>
      <c r="B399"/>
      <c r="C399"/>
      <c r="D399"/>
      <c r="E399"/>
    </row>
    <row r="400" spans="1:5">
      <c r="A400"/>
      <c r="B400"/>
      <c r="C400"/>
      <c r="D400"/>
      <c r="E400"/>
    </row>
    <row r="401" spans="1:5">
      <c r="A401"/>
      <c r="B401"/>
      <c r="C401"/>
      <c r="D401"/>
      <c r="E401"/>
    </row>
    <row r="402" spans="1:5">
      <c r="A402"/>
      <c r="B402"/>
      <c r="C402"/>
      <c r="D402"/>
      <c r="E402"/>
    </row>
    <row r="403" spans="1:5">
      <c r="A403"/>
      <c r="B403"/>
      <c r="C403"/>
      <c r="D403"/>
      <c r="E403"/>
    </row>
    <row r="404" spans="1:5">
      <c r="A404"/>
      <c r="B404"/>
      <c r="C404"/>
      <c r="D404"/>
      <c r="E404"/>
    </row>
    <row r="405" spans="1:5">
      <c r="A405"/>
      <c r="B405"/>
      <c r="C405"/>
      <c r="D405"/>
      <c r="E405"/>
    </row>
    <row r="406" spans="1:5">
      <c r="A406"/>
      <c r="B406"/>
      <c r="C406"/>
      <c r="D406"/>
      <c r="E406"/>
    </row>
    <row r="407" spans="1:5">
      <c r="A407"/>
      <c r="B407"/>
      <c r="C407"/>
      <c r="D407"/>
      <c r="E407"/>
    </row>
    <row r="408" spans="1:5">
      <c r="A408"/>
      <c r="B408"/>
      <c r="C408"/>
      <c r="D408"/>
      <c r="E408"/>
    </row>
    <row r="409" spans="1:5">
      <c r="A409"/>
      <c r="B409"/>
      <c r="C409"/>
      <c r="D409"/>
      <c r="E409"/>
    </row>
    <row r="410" spans="1:5">
      <c r="A410"/>
      <c r="B410"/>
      <c r="C410"/>
      <c r="D410"/>
      <c r="E410"/>
    </row>
    <row r="411" spans="1:5">
      <c r="A411"/>
      <c r="B411"/>
      <c r="C411"/>
      <c r="D411"/>
      <c r="E411"/>
    </row>
    <row r="412" spans="1:5">
      <c r="A412"/>
      <c r="B412"/>
      <c r="C412"/>
      <c r="D412"/>
      <c r="E412"/>
    </row>
    <row r="413" spans="1:5">
      <c r="A413"/>
      <c r="B413"/>
      <c r="C413"/>
      <c r="D413"/>
      <c r="E413"/>
    </row>
    <row r="414" spans="1:5">
      <c r="A414"/>
      <c r="B414"/>
      <c r="C414"/>
      <c r="D414"/>
      <c r="E414"/>
    </row>
    <row r="415" spans="1:5">
      <c r="A415"/>
      <c r="B415"/>
      <c r="C415"/>
      <c r="D415"/>
      <c r="E415"/>
    </row>
    <row r="416" spans="1:5">
      <c r="A416"/>
      <c r="B416"/>
      <c r="C416"/>
      <c r="D416"/>
      <c r="E416"/>
    </row>
    <row r="417" spans="1:5">
      <c r="A417"/>
      <c r="B417"/>
      <c r="C417"/>
      <c r="D417"/>
      <c r="E417"/>
    </row>
    <row r="418" spans="1:5">
      <c r="A418"/>
      <c r="B418"/>
      <c r="C418"/>
      <c r="D418"/>
      <c r="E418"/>
    </row>
    <row r="419" spans="1:5">
      <c r="A419"/>
      <c r="B419"/>
      <c r="C419"/>
      <c r="D419"/>
      <c r="E419"/>
    </row>
    <row r="420" spans="1:5">
      <c r="A420"/>
      <c r="B420"/>
      <c r="C420"/>
      <c r="D420"/>
      <c r="E420"/>
    </row>
    <row r="421" spans="1:5">
      <c r="A421"/>
      <c r="B421"/>
      <c r="C421"/>
      <c r="D421"/>
      <c r="E421"/>
    </row>
    <row r="422" spans="1:5">
      <c r="A422"/>
      <c r="B422"/>
      <c r="C422"/>
      <c r="D422"/>
      <c r="E422"/>
    </row>
    <row r="423" spans="1:5">
      <c r="A423"/>
      <c r="B423"/>
      <c r="C423"/>
      <c r="D423"/>
      <c r="E423"/>
    </row>
    <row r="424" spans="1:5">
      <c r="A424"/>
      <c r="B424"/>
      <c r="C424"/>
      <c r="D424"/>
      <c r="E424"/>
    </row>
    <row r="425" spans="1:5">
      <c r="A425"/>
      <c r="B425"/>
      <c r="C425"/>
      <c r="D425"/>
      <c r="E425"/>
    </row>
    <row r="426" spans="1:5">
      <c r="A426"/>
      <c r="B426"/>
      <c r="C426"/>
      <c r="D426"/>
      <c r="E426"/>
    </row>
    <row r="427" spans="1:5">
      <c r="A427"/>
      <c r="B427"/>
      <c r="C427"/>
      <c r="D427"/>
      <c r="E427"/>
    </row>
    <row r="428" spans="1:5">
      <c r="A428"/>
      <c r="B428"/>
      <c r="C428"/>
      <c r="D428"/>
      <c r="E428"/>
    </row>
    <row r="429" spans="1:5">
      <c r="A429"/>
      <c r="B429"/>
      <c r="C429"/>
      <c r="D429"/>
      <c r="E429"/>
    </row>
    <row r="430" spans="1:5">
      <c r="A430"/>
      <c r="B430"/>
      <c r="C430"/>
      <c r="D430"/>
      <c r="E430"/>
    </row>
    <row r="431" spans="1:5">
      <c r="A431"/>
      <c r="B431"/>
      <c r="C431"/>
      <c r="D431"/>
      <c r="E431"/>
    </row>
    <row r="432" spans="1:5">
      <c r="A432"/>
      <c r="B432"/>
      <c r="C432"/>
      <c r="D432"/>
      <c r="E432"/>
    </row>
    <row r="433" spans="1:5">
      <c r="A433"/>
      <c r="B433"/>
      <c r="C433"/>
      <c r="D433"/>
      <c r="E433"/>
    </row>
    <row r="434" spans="1:5">
      <c r="A434"/>
      <c r="B434"/>
      <c r="C434"/>
      <c r="D434"/>
      <c r="E434"/>
    </row>
    <row r="435" spans="1:5">
      <c r="A435"/>
      <c r="B435"/>
      <c r="C435"/>
      <c r="D435"/>
      <c r="E435"/>
    </row>
    <row r="436" spans="1:5">
      <c r="A436"/>
      <c r="B436"/>
      <c r="C436"/>
      <c r="D436"/>
      <c r="E436"/>
    </row>
    <row r="437" spans="1:5">
      <c r="A437"/>
      <c r="B437"/>
      <c r="C437"/>
      <c r="D437"/>
      <c r="E437"/>
    </row>
    <row r="438" spans="1:5">
      <c r="A438"/>
      <c r="B438"/>
      <c r="C438"/>
      <c r="D438"/>
      <c r="E438"/>
    </row>
    <row r="439" spans="1:5">
      <c r="A439"/>
      <c r="B439"/>
      <c r="C439"/>
      <c r="D439"/>
      <c r="E439"/>
    </row>
    <row r="440" spans="1:5">
      <c r="A440"/>
      <c r="B440"/>
      <c r="C440"/>
      <c r="D440"/>
      <c r="E440"/>
    </row>
    <row r="441" spans="1:5">
      <c r="A441"/>
      <c r="B441"/>
      <c r="C441"/>
      <c r="D441"/>
      <c r="E441"/>
    </row>
    <row r="442" spans="1:5">
      <c r="A442"/>
      <c r="B442"/>
      <c r="C442"/>
      <c r="D442"/>
      <c r="E442"/>
    </row>
    <row r="443" spans="1:5">
      <c r="A443"/>
      <c r="B443"/>
      <c r="C443"/>
      <c r="D443"/>
      <c r="E443"/>
    </row>
    <row r="444" spans="1:5">
      <c r="A444"/>
      <c r="B444"/>
      <c r="C444"/>
      <c r="D444"/>
      <c r="E444"/>
    </row>
    <row r="445" spans="1:5">
      <c r="A445"/>
      <c r="B445"/>
      <c r="C445"/>
      <c r="D445"/>
      <c r="E445"/>
    </row>
    <row r="446" spans="1:5">
      <c r="A446"/>
      <c r="B446"/>
      <c r="C446"/>
      <c r="D446"/>
      <c r="E446"/>
    </row>
    <row r="447" spans="1:5">
      <c r="A447"/>
      <c r="B447"/>
      <c r="C447"/>
      <c r="D447"/>
      <c r="E447"/>
    </row>
    <row r="448" spans="1:5">
      <c r="A448"/>
      <c r="B448"/>
      <c r="C448"/>
      <c r="D448"/>
      <c r="E448"/>
    </row>
    <row r="449" spans="1:5">
      <c r="A449"/>
      <c r="B449"/>
      <c r="C449"/>
      <c r="D449"/>
      <c r="E449"/>
    </row>
    <row r="450" spans="1:5">
      <c r="A450"/>
      <c r="B450"/>
      <c r="C450"/>
      <c r="D450"/>
      <c r="E450"/>
    </row>
    <row r="451" spans="1:5">
      <c r="A451"/>
      <c r="B451"/>
      <c r="C451"/>
      <c r="D451"/>
      <c r="E451"/>
    </row>
    <row r="452" spans="1:5">
      <c r="A452"/>
      <c r="B452"/>
      <c r="C452"/>
      <c r="D452"/>
      <c r="E452"/>
    </row>
    <row r="453" spans="1:5">
      <c r="A453"/>
      <c r="B453"/>
      <c r="C453"/>
      <c r="D453"/>
      <c r="E453"/>
    </row>
    <row r="454" spans="1:5">
      <c r="A454"/>
      <c r="B454"/>
      <c r="C454"/>
      <c r="D454"/>
      <c r="E454"/>
    </row>
    <row r="455" spans="1:5">
      <c r="A455"/>
      <c r="B455"/>
      <c r="C455"/>
      <c r="D455"/>
      <c r="E455"/>
    </row>
    <row r="456" spans="1:5">
      <c r="A456"/>
      <c r="B456"/>
      <c r="C456"/>
      <c r="D456"/>
      <c r="E456"/>
    </row>
    <row r="457" spans="1:5">
      <c r="A457"/>
      <c r="B457"/>
      <c r="C457"/>
      <c r="D457"/>
      <c r="E457"/>
    </row>
    <row r="458" spans="1:5">
      <c r="A458"/>
      <c r="B458"/>
      <c r="C458"/>
      <c r="D458"/>
      <c r="E458"/>
    </row>
    <row r="459" spans="1:5">
      <c r="A459"/>
      <c r="B459"/>
      <c r="C459"/>
      <c r="D459"/>
      <c r="E459"/>
    </row>
    <row r="460" spans="1:5">
      <c r="A460"/>
      <c r="B460"/>
      <c r="C460"/>
      <c r="D460"/>
      <c r="E460"/>
    </row>
    <row r="461" spans="1:5">
      <c r="A461"/>
      <c r="B461"/>
      <c r="C461"/>
      <c r="D461"/>
      <c r="E461"/>
    </row>
    <row r="462" spans="1:5">
      <c r="A462"/>
      <c r="B462"/>
      <c r="C462"/>
      <c r="D462"/>
      <c r="E462"/>
    </row>
    <row r="463" spans="1:5">
      <c r="A463"/>
      <c r="B463"/>
      <c r="C463"/>
      <c r="D463"/>
      <c r="E463"/>
    </row>
    <row r="464" spans="1:5">
      <c r="A464"/>
      <c r="B464"/>
      <c r="C464"/>
      <c r="D464"/>
      <c r="E464"/>
    </row>
    <row r="465" spans="1:5">
      <c r="A465"/>
      <c r="B465"/>
      <c r="C465"/>
      <c r="D465"/>
      <c r="E465"/>
    </row>
    <row r="466" spans="1:5">
      <c r="A466"/>
      <c r="B466"/>
      <c r="C466"/>
      <c r="D466"/>
      <c r="E466"/>
    </row>
    <row r="467" spans="1:5">
      <c r="A467"/>
      <c r="B467"/>
      <c r="C467"/>
      <c r="D467"/>
      <c r="E467"/>
    </row>
    <row r="468" spans="1:5">
      <c r="A468"/>
      <c r="B468"/>
      <c r="C468"/>
      <c r="D468"/>
      <c r="E468"/>
    </row>
    <row r="469" spans="1:5">
      <c r="A469"/>
      <c r="B469"/>
      <c r="C469"/>
      <c r="D469"/>
      <c r="E469"/>
    </row>
    <row r="470" spans="1:5">
      <c r="A470"/>
      <c r="B470"/>
      <c r="C470"/>
      <c r="D470"/>
      <c r="E470"/>
    </row>
    <row r="471" spans="1:5">
      <c r="A471"/>
      <c r="B471"/>
      <c r="C471"/>
      <c r="D471"/>
      <c r="E471"/>
    </row>
    <row r="472" spans="1:5">
      <c r="A472"/>
      <c r="B472"/>
      <c r="C472"/>
      <c r="D472"/>
      <c r="E472"/>
    </row>
    <row r="473" spans="1:5">
      <c r="A473"/>
      <c r="B473"/>
      <c r="C473"/>
      <c r="D473"/>
      <c r="E473"/>
    </row>
    <row r="474" spans="1:5">
      <c r="A474"/>
      <c r="B474"/>
      <c r="C474"/>
      <c r="D474"/>
      <c r="E474"/>
    </row>
    <row r="475" spans="1:5">
      <c r="A475"/>
      <c r="B475"/>
      <c r="C475"/>
      <c r="D475"/>
      <c r="E475"/>
    </row>
    <row r="476" spans="1:5">
      <c r="A476"/>
      <c r="B476"/>
      <c r="C476"/>
      <c r="D476"/>
      <c r="E476"/>
    </row>
    <row r="477" spans="1:5">
      <c r="A477"/>
      <c r="B477"/>
      <c r="C477"/>
      <c r="D477"/>
      <c r="E477"/>
    </row>
    <row r="478" spans="1:5">
      <c r="A478"/>
      <c r="B478"/>
      <c r="C478"/>
      <c r="D478"/>
      <c r="E478"/>
    </row>
    <row r="479" spans="1:5">
      <c r="A479"/>
      <c r="B479"/>
      <c r="C479"/>
      <c r="D479"/>
      <c r="E479"/>
    </row>
    <row r="480" spans="1:5">
      <c r="A480"/>
      <c r="B480"/>
      <c r="C480"/>
      <c r="D480"/>
      <c r="E480"/>
    </row>
    <row r="481" spans="1:5">
      <c r="A481"/>
      <c r="B481"/>
      <c r="C481"/>
      <c r="D481"/>
      <c r="E481"/>
    </row>
    <row r="482" spans="1:5">
      <c r="A482"/>
      <c r="B482"/>
      <c r="C482"/>
      <c r="D482"/>
      <c r="E482"/>
    </row>
    <row r="483" spans="1:5">
      <c r="A483"/>
      <c r="B483"/>
      <c r="C483"/>
      <c r="D483"/>
      <c r="E483"/>
    </row>
    <row r="484" spans="1:5">
      <c r="A484"/>
      <c r="B484"/>
      <c r="C484"/>
      <c r="D484"/>
      <c r="E484"/>
    </row>
    <row r="485" spans="1:5">
      <c r="A485"/>
      <c r="B485"/>
      <c r="C485"/>
      <c r="D485"/>
      <c r="E485"/>
    </row>
    <row r="486" spans="1:5">
      <c r="A486"/>
      <c r="B486"/>
      <c r="C486"/>
      <c r="D486"/>
      <c r="E486"/>
    </row>
    <row r="487" spans="1:5">
      <c r="A487"/>
      <c r="B487"/>
      <c r="C487"/>
      <c r="D487"/>
      <c r="E487"/>
    </row>
    <row r="488" spans="1:5">
      <c r="A488"/>
      <c r="B488"/>
      <c r="C488"/>
      <c r="D488"/>
      <c r="E488"/>
    </row>
    <row r="489" spans="1:5">
      <c r="A489"/>
      <c r="B489"/>
      <c r="C489"/>
      <c r="D489"/>
      <c r="E489"/>
    </row>
    <row r="490" spans="1:5">
      <c r="A490"/>
      <c r="B490"/>
      <c r="C490"/>
      <c r="D490"/>
      <c r="E490"/>
    </row>
    <row r="491" spans="1:5">
      <c r="A491"/>
      <c r="B491"/>
      <c r="C491"/>
      <c r="D491"/>
      <c r="E491"/>
    </row>
    <row r="492" spans="1:5">
      <c r="A492"/>
      <c r="B492"/>
      <c r="C492"/>
      <c r="D492"/>
      <c r="E492"/>
    </row>
    <row r="493" spans="1:5">
      <c r="A493"/>
      <c r="B493"/>
      <c r="C493"/>
      <c r="D493"/>
      <c r="E493"/>
    </row>
    <row r="494" spans="1:5">
      <c r="A494"/>
      <c r="B494"/>
      <c r="C494"/>
      <c r="D494"/>
      <c r="E494"/>
    </row>
    <row r="495" spans="1:5">
      <c r="A495"/>
      <c r="B495"/>
      <c r="C495"/>
      <c r="D495"/>
      <c r="E495"/>
    </row>
    <row r="496" spans="1:5">
      <c r="A496"/>
      <c r="B496"/>
      <c r="C496"/>
      <c r="D496"/>
      <c r="E496"/>
    </row>
    <row r="497" spans="1:5">
      <c r="A497"/>
      <c r="B497"/>
      <c r="C497"/>
      <c r="D497"/>
      <c r="E497"/>
    </row>
    <row r="498" spans="1:5">
      <c r="A498"/>
      <c r="B498"/>
      <c r="C498"/>
      <c r="D498"/>
      <c r="E498"/>
    </row>
    <row r="499" spans="1:5">
      <c r="A499"/>
      <c r="B499"/>
      <c r="C499"/>
      <c r="D499"/>
      <c r="E499"/>
    </row>
    <row r="500" spans="1:5">
      <c r="A500"/>
      <c r="B500"/>
      <c r="C500"/>
      <c r="D500"/>
      <c r="E500"/>
    </row>
  </sheetData>
  <dataValidations disablePrompts="1" count="4">
    <dataValidation type="date" allowBlank="1" showInputMessage="1" showErrorMessage="1" errorTitle="Ungültiges Datum" error="Bitte ein gültiges Datum eingeben (z.B. 15.04.2026)" sqref="A4:A49 A51:A200" xr:uid="{5ED584A0-68DE-4DA1-88DA-B372BD160BDB}">
      <formula1>1</formula1>
      <formula2>73050</formula2>
    </dataValidation>
    <dataValidation type="custom" allowBlank="1" showInputMessage="1" showErrorMessage="1" errorTitle="Ungültige Uhrzeit" error="Bitte eine gültige Uhrzeit eingeben (z.B. 10:00 oder 14:30)" sqref="B4:B49" xr:uid="{80D37B20-A955-444A-A2A0-22837D5A1514}">
      <formula1>AND(ISNUMBER(B4),B4&gt;=0,B4&lt;1)</formula1>
    </dataValidation>
    <dataValidation type="custom" allowBlank="1" showInputMessage="1" showErrorMessage="1" errorTitle="Ungültige Uhrzeit" error="Bitte eine gültige Uhrzeit eingeben (z.B. 10:00 oder 16:30)" sqref="C4:C49" xr:uid="{87EB6A43-AD6A-420A-A927-127302387C4C}">
      <formula1>AND(ISNUMBER(C4),C4&gt;=0,C4&lt;1)</formula1>
    </dataValidation>
    <dataValidation type="custom" allowBlank="1" showInputMessage="1" showErrorMessage="1" errorTitle="Ungültige Uhrzeit" error="Bitte eine gültige Uhrzeit eingeben (z.B. 10:00)" sqref="B51:C200" xr:uid="{45A0303C-BEE9-433E-931D-57D3453665D3}">
      <formula1>AND(ISNUMBER(B51),B51&gt;=0,B51&lt;1)</formula1>
    </dataValidation>
  </dataValidation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26A27-E9B8-4A11-9D1D-AC60FF893E56}">
  <sheetPr>
    <tabColor rgb="FF1B3A5C"/>
  </sheetPr>
  <dimension ref="A1:H15"/>
  <sheetViews>
    <sheetView showGridLines="0" workbookViewId="0">
      <selection activeCell="H11" sqref="H11"/>
    </sheetView>
  </sheetViews>
  <sheetFormatPr defaultColWidth="11.42578125" defaultRowHeight="15"/>
  <cols>
    <col min="1" max="1" width="2.28515625" customWidth="1"/>
    <col min="2" max="2" width="28.5703125" customWidth="1"/>
    <col min="3" max="3" width="2.28515625" customWidth="1"/>
    <col min="4" max="4" width="28.5703125" customWidth="1"/>
    <col min="5" max="5" width="2.28515625" customWidth="1"/>
    <col min="6" max="6" width="28.5703125" customWidth="1"/>
  </cols>
  <sheetData>
    <row r="1" spans="1:8" ht="38.1" customHeight="1">
      <c r="A1" s="2"/>
      <c r="B1" s="14" t="s">
        <v>22</v>
      </c>
      <c r="C1" s="2"/>
      <c r="D1" s="2"/>
      <c r="E1" s="2"/>
      <c r="F1" s="2"/>
      <c r="G1" s="2"/>
      <c r="H1" s="2"/>
    </row>
    <row r="2" spans="1:8" ht="12" customHeight="1">
      <c r="A2" s="2"/>
      <c r="B2" s="2"/>
      <c r="C2" s="2"/>
      <c r="D2" s="2"/>
      <c r="E2" s="2"/>
      <c r="F2" s="2"/>
      <c r="G2" s="2"/>
      <c r="H2" s="2"/>
    </row>
    <row r="3" spans="1:8" ht="3.95" customHeight="1">
      <c r="A3" s="2"/>
      <c r="B3" s="3"/>
      <c r="C3" s="2"/>
      <c r="D3" s="4"/>
      <c r="E3" s="2"/>
      <c r="F3" s="5"/>
      <c r="G3" s="2"/>
      <c r="H3" s="2"/>
    </row>
    <row r="4" spans="1:8" ht="18" customHeight="1">
      <c r="A4" s="2"/>
      <c r="B4" s="37" t="s">
        <v>23</v>
      </c>
      <c r="C4" s="33"/>
      <c r="D4" s="37" t="s">
        <v>24</v>
      </c>
      <c r="E4" s="33"/>
      <c r="F4" s="37" t="s">
        <v>25</v>
      </c>
      <c r="G4" s="2"/>
      <c r="H4" s="2"/>
    </row>
    <row r="5" spans="1:8" ht="48" customHeight="1">
      <c r="A5" s="2"/>
      <c r="B5" s="38">
        <f>SUM(Lernzeiten!D4:D200)</f>
        <v>63.5</v>
      </c>
      <c r="C5" s="33"/>
      <c r="D5" s="40">
        <f>IF(F5&gt;0,B5/F5,0)</f>
        <v>3.7352941176470589</v>
      </c>
      <c r="E5" s="33"/>
      <c r="F5" s="41">
        <f>COUNTA(Lernzeiten!A4:A200)</f>
        <v>17</v>
      </c>
      <c r="G5" s="2"/>
      <c r="H5" s="2"/>
    </row>
    <row r="6" spans="1:8" ht="15.95" customHeight="1">
      <c r="A6" s="2"/>
      <c r="B6" s="39" t="s">
        <v>26</v>
      </c>
      <c r="C6" s="33"/>
      <c r="D6" s="39" t="s">
        <v>27</v>
      </c>
      <c r="E6" s="33"/>
      <c r="F6" s="39" t="s">
        <v>28</v>
      </c>
      <c r="G6" s="2"/>
      <c r="H6" s="2"/>
    </row>
    <row r="7" spans="1:8" ht="15.95" customHeight="1">
      <c r="A7" s="2"/>
      <c r="B7" s="33"/>
      <c r="C7" s="33"/>
      <c r="D7" s="33"/>
      <c r="E7" s="33"/>
      <c r="F7" s="33"/>
      <c r="G7" s="2"/>
      <c r="H7" s="2"/>
    </row>
    <row r="8" spans="1:8" ht="3.95" customHeight="1">
      <c r="A8" s="2"/>
      <c r="B8" s="34"/>
      <c r="C8" s="33"/>
      <c r="D8" s="35"/>
      <c r="E8" s="33"/>
      <c r="F8" s="36"/>
      <c r="G8" s="2"/>
      <c r="H8" s="2"/>
    </row>
    <row r="9" spans="1:8" ht="18" customHeight="1">
      <c r="A9" s="2"/>
      <c r="B9" s="37" t="s">
        <v>29</v>
      </c>
      <c r="C9" s="33"/>
      <c r="D9" s="37" t="s">
        <v>30</v>
      </c>
      <c r="E9" s="33"/>
      <c r="F9" s="37" t="s">
        <v>31</v>
      </c>
      <c r="G9" s="2"/>
      <c r="H9" s="2"/>
    </row>
    <row r="10" spans="1:8" ht="39.950000000000003" customHeight="1">
      <c r="A10" s="2"/>
      <c r="B10" s="42">
        <f>MAX(Lernzeiten!D4:D200)</f>
        <v>4.9999999999999929</v>
      </c>
      <c r="C10" s="33"/>
      <c r="D10" s="43">
        <f>_xlfn.MINIFS(Lernzeiten!D4:D200,Lernzeiten!D4:D200,"&gt;0")</f>
        <v>1.5</v>
      </c>
      <c r="E10" s="33"/>
      <c r="F10" s="44" t="str">
        <f>TEXT(MIN(Lernzeiten!A4:A200),"TT.MM.JJ")&amp;"  –  "&amp;TEXT(MAX(Lernzeiten!A4:A200),"TT.MM.JJ")</f>
        <v>02.03.26  –  12.04.26</v>
      </c>
      <c r="G10" s="2"/>
      <c r="H10" s="2"/>
    </row>
    <row r="11" spans="1:8" ht="15.95" customHeight="1">
      <c r="A11" s="2"/>
      <c r="B11" s="39" t="s">
        <v>32</v>
      </c>
      <c r="C11" s="33"/>
      <c r="D11" s="39" t="s">
        <v>33</v>
      </c>
      <c r="E11" s="33"/>
      <c r="F11" s="39" t="s">
        <v>34</v>
      </c>
      <c r="G11" s="2"/>
      <c r="H11" s="2"/>
    </row>
    <row r="12" spans="1:8" ht="18" customHeight="1">
      <c r="A12" s="2"/>
      <c r="B12" s="2"/>
      <c r="C12" s="2"/>
      <c r="D12" s="2"/>
      <c r="E12" s="2"/>
      <c r="F12" s="2"/>
      <c r="G12" s="2"/>
      <c r="H12" s="2"/>
    </row>
    <row r="13" spans="1:8">
      <c r="A13" s="2"/>
      <c r="B13" s="2"/>
      <c r="C13" s="2"/>
      <c r="D13" s="2"/>
      <c r="E13" s="2"/>
      <c r="F13" s="2"/>
      <c r="G13" s="2"/>
      <c r="H13" s="2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2"/>
      <c r="B15" s="2"/>
      <c r="C15" s="2"/>
      <c r="D15" s="2"/>
      <c r="E15" s="2"/>
      <c r="F15" s="2"/>
      <c r="G15" s="2"/>
      <c r="H15" s="2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68c8560-2398-4526-b0fa-4e687074252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3B93087D9FDD046AF553FB8C5BE45AD" ma:contentTypeVersion="15" ma:contentTypeDescription="Ein neues Dokument erstellen." ma:contentTypeScope="" ma:versionID="488b950cb85984ce9066b5a73f47aa2e">
  <xsd:schema xmlns:xsd="http://www.w3.org/2001/XMLSchema" xmlns:xs="http://www.w3.org/2001/XMLSchema" xmlns:p="http://schemas.microsoft.com/office/2006/metadata/properties" xmlns:ns3="568c8560-2398-4526-b0fa-4e6870742524" xmlns:ns4="90d9de02-4ded-48a7-94ef-54c32ab49781" targetNamespace="http://schemas.microsoft.com/office/2006/metadata/properties" ma:root="true" ma:fieldsID="b720c04707749ea7a6bbbe09851b0e09" ns3:_="" ns4:_="">
    <xsd:import namespace="568c8560-2398-4526-b0fa-4e6870742524"/>
    <xsd:import namespace="90d9de02-4ded-48a7-94ef-54c32ab4978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c8560-2398-4526-b0fa-4e687074252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d9de02-4ded-48a7-94ef-54c32ab49781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B3EA9A-EA23-487F-ADC9-FC6573D42F11}"/>
</file>

<file path=customXml/itemProps2.xml><?xml version="1.0" encoding="utf-8"?>
<ds:datastoreItem xmlns:ds="http://schemas.openxmlformats.org/officeDocument/2006/customXml" ds:itemID="{3BE0D7AD-DCEB-45AC-AFA7-8C7B1328AC14}"/>
</file>

<file path=customXml/itemProps3.xml><?xml version="1.0" encoding="utf-8"?>
<ds:datastoreItem xmlns:ds="http://schemas.openxmlformats.org/officeDocument/2006/customXml" ds:itemID="{9C08132D-2E1C-46F1-91EB-19473081C2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2026-03-09T13:30:13Z</dcterms:created>
  <dcterms:modified xsi:type="dcterms:W3CDTF">2026-04-16T09:22:46Z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0x010100C3B93087D9FDD046AF553FB8C5BE45AD</vt:lpwstr>
  </property>
</Properties>
</file>